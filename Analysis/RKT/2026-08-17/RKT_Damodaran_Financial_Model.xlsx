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Rocket Companies, Inc.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14.5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2830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3448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5748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10243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0.1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0.02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0.17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0.2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0.26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0.09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0.25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0.3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0.005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0.035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-5%; Margin -3% pts; WACC +1.5%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+8%; Margin +4% pts; WACC -1.0%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-0.13</v>
      </c>
      <c r="D5" s="9" t="n">
        <v>-0.08</v>
      </c>
      <c r="E5" s="9" t="n">
        <v>0.03</v>
      </c>
      <c r="F5" s="9" t="n">
        <v>-0.02</v>
      </c>
      <c r="G5" s="9" t="n">
        <v>-0.07000000000000001</v>
      </c>
      <c r="H5" s="6" t="inlineStr">
        <is>
          <t>Prolonged high-rate cycle + housing recession + MSR compression + integration failure; WACC to 12%, margins to 9%</t>
        </is>
      </c>
    </row>
    <row r="6">
      <c r="A6" s="11" t="inlineStr">
        <is>
          <t>Bear</t>
        </is>
      </c>
      <c r="B6" s="9" t="n">
        <v>0.2</v>
      </c>
      <c r="C6" s="9" t="n">
        <v>-0.05</v>
      </c>
      <c r="D6" s="9" t="n">
        <v>-0.03</v>
      </c>
      <c r="E6" s="9" t="n">
        <v>0.015</v>
      </c>
      <c r="F6" s="9" t="n">
        <v>-0.01</v>
      </c>
      <c r="G6" s="9" t="n">
        <v>-0.03</v>
      </c>
      <c r="H6" s="6" t="inlineStr">
        <is>
          <t>Extended high-rate cycle, muted volumes, modest share gains, margin pressure</t>
        </is>
      </c>
    </row>
    <row r="7">
      <c r="A7" s="11" t="inlineStr">
        <is>
          <t>Base</t>
        </is>
      </c>
      <c r="B7" s="9" t="n">
        <v>0.45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Share gains offset shrinking market; 17-&gt;20% economic EBIT margins; 9% WACC; 3% terminal growth</t>
        </is>
      </c>
    </row>
    <row r="8">
      <c r="A8" s="11" t="inlineStr">
        <is>
          <t>Bull</t>
        </is>
      </c>
      <c r="B8" s="9" t="n">
        <v>0.15</v>
      </c>
      <c r="C8" s="9" t="n">
        <v>0.08</v>
      </c>
      <c r="D8" s="9" t="n">
        <v>0.04</v>
      </c>
      <c r="E8" s="9" t="n">
        <v>-0.01</v>
      </c>
      <c r="F8" s="9" t="n">
        <v>0.005</v>
      </c>
      <c r="G8" s="9" t="n">
        <v>0.05</v>
      </c>
      <c r="H8" s="6" t="inlineStr">
        <is>
          <t>Rates ease, share gains accelerate, Redfin/home-equity scale, Cooper synergies exceed $400M target</t>
        </is>
      </c>
    </row>
    <row r="9">
      <c r="A9" s="11" t="inlineStr">
        <is>
          <t>Extreme Bull</t>
        </is>
      </c>
      <c r="B9" s="9" t="n">
        <v>0.1</v>
      </c>
      <c r="C9" s="9" t="n">
        <v>0.2</v>
      </c>
      <c r="D9" s="9" t="n">
        <v>0.09</v>
      </c>
      <c r="E9" s="9" t="n">
        <v>-0.015</v>
      </c>
      <c r="F9" s="9" t="n">
        <v>0.01</v>
      </c>
      <c r="G9" s="9" t="n">
        <v>0.1</v>
      </c>
      <c r="H9" s="6" t="inlineStr">
        <is>
          <t>Refinance wave (2021-like) on a dominant #1-lender/#1-servicer platform; high margins for years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10</v>
      </c>
      <c r="C14" s="10" t="n">
        <v>15</v>
      </c>
      <c r="D14" s="10" t="n">
        <v>20</v>
      </c>
      <c r="E14" s="10" t="n">
        <v>25</v>
      </c>
      <c r="F14" s="10" t="n">
        <v>30</v>
      </c>
    </row>
    <row r="15">
      <c r="A15" s="24" t="n">
        <v>0.15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  <c r="K15" s="25">
        <f>(K$14*$A15*(1-Inputs!$B$17)*(1-Inputs!$B$19/Inputs!$B$20))/((Inputs!$B$18)-Inputs!$B$19)</f>
        <v/>
      </c>
      <c r="L15" s="25">
        <f>(L$14*$A15*(1-Inputs!$B$17)*(1-Inputs!$B$19/Inputs!$B$20))/((Inputs!$B$18)-Inputs!$B$19)</f>
        <v/>
      </c>
      <c r="M15" s="25">
        <f>(M$14*$A15*(1-Inputs!$B$17)*(1-Inputs!$B$19/Inputs!$B$20))/((Inputs!$B$18)-Inputs!$B$19)</f>
        <v/>
      </c>
      <c r="N15" s="25">
        <f>(N$14*$A15*(1-Inputs!$B$17)*(1-Inputs!$B$19/Inputs!$B$20))/((Inputs!$B$18)-Inputs!$B$19)</f>
        <v/>
      </c>
      <c r="O15" s="25">
        <f>(O$14*$A15*(1-Inputs!$B$17)*(1-Inputs!$B$19/Inputs!$B$20))/((Inputs!$B$18)-Inputs!$B$19)</f>
        <v/>
      </c>
      <c r="P15" s="25">
        <f>(P$14*$A15*(1-Inputs!$B$17)*(1-Inputs!$B$19/Inputs!$B$20))/((Inputs!$B$18)-Inputs!$B$19)</f>
        <v/>
      </c>
      <c r="Q15" s="25">
        <f>(Q$14*$A15*(1-Inputs!$B$17)*(1-Inputs!$B$19/Inputs!$B$20))/((Inputs!$B$18)-Inputs!$B$19)</f>
        <v/>
      </c>
      <c r="R15" s="25">
        <f>(R$14*$A15*(1-Inputs!$B$17)*(1-Inputs!$B$19/Inputs!$B$20))/((Inputs!$B$18)-Inputs!$B$19)</f>
        <v/>
      </c>
      <c r="S15" s="25">
        <f>(S$14*$A15*(1-Inputs!$B$17)*(1-Inputs!$B$19/Inputs!$B$20))/((Inputs!$B$18)-Inputs!$B$19)</f>
        <v/>
      </c>
      <c r="T15" s="25">
        <f>(T$14*$A15*(1-Inputs!$B$17)*(1-Inputs!$B$19/Inputs!$B$20))/((Inputs!$B$18)-Inputs!$B$19)</f>
        <v/>
      </c>
      <c r="U15" s="25">
        <f>(U$14*$A15*(1-Inputs!$B$17)*(1-Inputs!$B$19/Inputs!$B$20))/((Inputs!$B$18)-Inputs!$B$19)</f>
        <v/>
      </c>
      <c r="V15" s="25">
        <f>(V$14*$A15*(1-Inputs!$B$17)*(1-Inputs!$B$19/Inputs!$B$20))/((Inputs!$B$18)-Inputs!$B$19)</f>
        <v/>
      </c>
    </row>
    <row r="16">
      <c r="A16" s="24" t="n">
        <v>0.2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  <c r="I16" s="25">
        <f>(I$14*$A16*(1-Inputs!$B$17)*(1-Inputs!$B$19/Inputs!$B$20))/((Inputs!$B$18)-Inputs!$B$19)</f>
        <v/>
      </c>
      <c r="J16" s="25">
        <f>(J$14*$A16*(1-Inputs!$B$17)*(1-Inputs!$B$19/Inputs!$B$20))/((Inputs!$B$18)-Inputs!$B$19)</f>
        <v/>
      </c>
      <c r="K16" s="25">
        <f>(K$14*$A16*(1-Inputs!$B$17)*(1-Inputs!$B$19/Inputs!$B$20))/((Inputs!$B$18)-Inputs!$B$19)</f>
        <v/>
      </c>
      <c r="L16" s="25">
        <f>(L$14*$A16*(1-Inputs!$B$17)*(1-Inputs!$B$19/Inputs!$B$20))/((Inputs!$B$18)-Inputs!$B$19)</f>
        <v/>
      </c>
      <c r="M16" s="25">
        <f>(M$14*$A16*(1-Inputs!$B$17)*(1-Inputs!$B$19/Inputs!$B$20))/((Inputs!$B$18)-Inputs!$B$19)</f>
        <v/>
      </c>
      <c r="N16" s="25">
        <f>(N$14*$A16*(1-Inputs!$B$17)*(1-Inputs!$B$19/Inputs!$B$20))/((Inputs!$B$18)-Inputs!$B$19)</f>
        <v/>
      </c>
      <c r="O16" s="25">
        <f>(O$14*$A16*(1-Inputs!$B$17)*(1-Inputs!$B$19/Inputs!$B$20))/((Inputs!$B$18)-Inputs!$B$19)</f>
        <v/>
      </c>
      <c r="P16" s="25">
        <f>(P$14*$A16*(1-Inputs!$B$17)*(1-Inputs!$B$19/Inputs!$B$20))/((Inputs!$B$18)-Inputs!$B$19)</f>
        <v/>
      </c>
      <c r="Q16" s="25">
        <f>(Q$14*$A16*(1-Inputs!$B$17)*(1-Inputs!$B$19/Inputs!$B$20))/((Inputs!$B$18)-Inputs!$B$19)</f>
        <v/>
      </c>
      <c r="R16" s="25">
        <f>(R$14*$A16*(1-Inputs!$B$17)*(1-Inputs!$B$19/Inputs!$B$20))/((Inputs!$B$18)-Inputs!$B$19)</f>
        <v/>
      </c>
      <c r="S16" s="25">
        <f>(S$14*$A16*(1-Inputs!$B$17)*(1-Inputs!$B$19/Inputs!$B$20))/((Inputs!$B$18)-Inputs!$B$19)</f>
        <v/>
      </c>
      <c r="T16" s="25">
        <f>(T$14*$A16*(1-Inputs!$B$17)*(1-Inputs!$B$19/Inputs!$B$20))/((Inputs!$B$18)-Inputs!$B$19)</f>
        <v/>
      </c>
      <c r="U16" s="25">
        <f>(U$14*$A16*(1-Inputs!$B$17)*(1-Inputs!$B$19/Inputs!$B$20))/((Inputs!$B$18)-Inputs!$B$19)</f>
        <v/>
      </c>
      <c r="V16" s="25">
        <f>(V$14*$A16*(1-Inputs!$B$17)*(1-Inputs!$B$19/Inputs!$B$20))/((Inputs!$B$18)-Inputs!$B$19)</f>
        <v/>
      </c>
    </row>
    <row r="17">
      <c r="A17" s="24" t="n">
        <v>0.25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  <c r="I17" s="25">
        <f>(I$14*$A17*(1-Inputs!$B$17)*(1-Inputs!$B$19/Inputs!$B$20))/((Inputs!$B$18)-Inputs!$B$19)</f>
        <v/>
      </c>
      <c r="J17" s="25">
        <f>(J$14*$A17*(1-Inputs!$B$17)*(1-Inputs!$B$19/Inputs!$B$20))/((Inputs!$B$18)-Inputs!$B$19)</f>
        <v/>
      </c>
      <c r="K17" s="25">
        <f>(K$14*$A17*(1-Inputs!$B$17)*(1-Inputs!$B$19/Inputs!$B$20))/((Inputs!$B$18)-Inputs!$B$19)</f>
        <v/>
      </c>
      <c r="L17" s="25">
        <f>(L$14*$A17*(1-Inputs!$B$17)*(1-Inputs!$B$19/Inputs!$B$20))/((Inputs!$B$18)-Inputs!$B$19)</f>
        <v/>
      </c>
      <c r="M17" s="25">
        <f>(M$14*$A17*(1-Inputs!$B$17)*(1-Inputs!$B$19/Inputs!$B$20))/((Inputs!$B$18)-Inputs!$B$19)</f>
        <v/>
      </c>
      <c r="N17" s="25">
        <f>(N$14*$A17*(1-Inputs!$B$17)*(1-Inputs!$B$19/Inputs!$B$20))/((Inputs!$B$18)-Inputs!$B$19)</f>
        <v/>
      </c>
      <c r="O17" s="25">
        <f>(O$14*$A17*(1-Inputs!$B$17)*(1-Inputs!$B$19/Inputs!$B$20))/((Inputs!$B$18)-Inputs!$B$19)</f>
        <v/>
      </c>
      <c r="P17" s="25">
        <f>(P$14*$A17*(1-Inputs!$B$17)*(1-Inputs!$B$19/Inputs!$B$20))/((Inputs!$B$18)-Inputs!$B$19)</f>
        <v/>
      </c>
      <c r="Q17" s="25">
        <f>(Q$14*$A17*(1-Inputs!$B$17)*(1-Inputs!$B$19/Inputs!$B$20))/((Inputs!$B$18)-Inputs!$B$19)</f>
        <v/>
      </c>
      <c r="R17" s="25">
        <f>(R$14*$A17*(1-Inputs!$B$17)*(1-Inputs!$B$19/Inputs!$B$20))/((Inputs!$B$18)-Inputs!$B$19)</f>
        <v/>
      </c>
      <c r="S17" s="25">
        <f>(S$14*$A17*(1-Inputs!$B$17)*(1-Inputs!$B$19/Inputs!$B$20))/((Inputs!$B$18)-Inputs!$B$19)</f>
        <v/>
      </c>
      <c r="T17" s="25">
        <f>(T$14*$A17*(1-Inputs!$B$17)*(1-Inputs!$B$19/Inputs!$B$20))/((Inputs!$B$18)-Inputs!$B$19)</f>
        <v/>
      </c>
      <c r="U17" s="25">
        <f>(U$14*$A17*(1-Inputs!$B$17)*(1-Inputs!$B$19/Inputs!$B$20))/((Inputs!$B$18)-Inputs!$B$19)</f>
        <v/>
      </c>
      <c r="V17" s="25">
        <f>(V$14*$A17*(1-Inputs!$B$17)*(1-Inputs!$B$19/Inputs!$B$20))/((Inputs!$B$18)-Inputs!$B$19)</f>
        <v/>
      </c>
    </row>
    <row r="18">
      <c r="A18" s="24" t="n">
        <v>0.3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  <c r="I18" s="25">
        <f>(I$14*$A18*(1-Inputs!$B$17)*(1-Inputs!$B$19/Inputs!$B$20))/((Inputs!$B$18)-Inputs!$B$19)</f>
        <v/>
      </c>
      <c r="J18" s="25">
        <f>(J$14*$A18*(1-Inputs!$B$17)*(1-Inputs!$B$19/Inputs!$B$20))/((Inputs!$B$18)-Inputs!$B$19)</f>
        <v/>
      </c>
      <c r="K18" s="25">
        <f>(K$14*$A18*(1-Inputs!$B$17)*(1-Inputs!$B$19/Inputs!$B$20))/((Inputs!$B$18)-Inputs!$B$19)</f>
        <v/>
      </c>
      <c r="L18" s="25">
        <f>(L$14*$A18*(1-Inputs!$B$17)*(1-Inputs!$B$19/Inputs!$B$20))/((Inputs!$B$18)-Inputs!$B$19)</f>
        <v/>
      </c>
      <c r="M18" s="25">
        <f>(M$14*$A18*(1-Inputs!$B$17)*(1-Inputs!$B$19/Inputs!$B$20))/((Inputs!$B$18)-Inputs!$B$19)</f>
        <v/>
      </c>
      <c r="N18" s="25">
        <f>(N$14*$A18*(1-Inputs!$B$17)*(1-Inputs!$B$19/Inputs!$B$20))/((Inputs!$B$18)-Inputs!$B$19)</f>
        <v/>
      </c>
      <c r="O18" s="25">
        <f>(O$14*$A18*(1-Inputs!$B$17)*(1-Inputs!$B$19/Inputs!$B$20))/((Inputs!$B$18)-Inputs!$B$19)</f>
        <v/>
      </c>
      <c r="P18" s="25">
        <f>(P$14*$A18*(1-Inputs!$B$17)*(1-Inputs!$B$19/Inputs!$B$20))/((Inputs!$B$18)-Inputs!$B$19)</f>
        <v/>
      </c>
      <c r="Q18" s="25">
        <f>(Q$14*$A18*(1-Inputs!$B$17)*(1-Inputs!$B$19/Inputs!$B$20))/((Inputs!$B$18)-Inputs!$B$19)</f>
        <v/>
      </c>
      <c r="R18" s="25">
        <f>(R$14*$A18*(1-Inputs!$B$17)*(1-Inputs!$B$19/Inputs!$B$20))/((Inputs!$B$18)-Inputs!$B$19)</f>
        <v/>
      </c>
      <c r="S18" s="25">
        <f>(S$14*$A18*(1-Inputs!$B$17)*(1-Inputs!$B$19/Inputs!$B$20))/((Inputs!$B$18)-Inputs!$B$19)</f>
        <v/>
      </c>
      <c r="T18" s="25">
        <f>(T$14*$A18*(1-Inputs!$B$17)*(1-Inputs!$B$19/Inputs!$B$20))/((Inputs!$B$18)-Inputs!$B$19)</f>
        <v/>
      </c>
      <c r="U18" s="25">
        <f>(U$14*$A18*(1-Inputs!$B$17)*(1-Inputs!$B$19/Inputs!$B$20))/((Inputs!$B$18)-Inputs!$B$19)</f>
        <v/>
      </c>
      <c r="V18" s="25">
        <f>(V$14*$A18*(1-Inputs!$B$17)*(1-Inputs!$B$19/Inputs!$B$20))/((Inputs!$B$18)-Inputs!$B$19)</f>
        <v/>
      </c>
    </row>
    <row r="19">
      <c r="A19" s="6" t="inlineStr">
        <is>
          <t>Grid cells are terminal EV in $ billions. Compare against implied EV above.</t>
        </is>
      </c>
    </row>
    <row r="20">
      <c r="A20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0.08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0.08500000000000001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0.09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0.095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12</v>
      </c>
      <c r="C13" s="10" t="n">
        <v>15</v>
      </c>
      <c r="D13" s="10" t="n">
        <v>18</v>
      </c>
      <c r="E13" s="10" t="n">
        <v>21</v>
      </c>
      <c r="F13" s="10" t="n">
        <v>24</v>
      </c>
    </row>
    <row r="14">
      <c r="A14" s="24" t="n">
        <v>0.15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</row>
    <row r="15">
      <c r="A15" s="24" t="n">
        <v>0.18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</row>
    <row r="16">
      <c r="A16" s="24" t="n">
        <v>0.2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</row>
    <row r="17">
      <c r="A17" s="24" t="n">
        <v>0.22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</row>
    <row r="18">
      <c r="A18" s="24" t="n">
        <v>0.25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2026-08-18T01:00:02Z</dcterms:created>
  <dcterms:modified xsi:type="dcterms:W3CDTF">2026-08-18T01:00:02Z</dcterms:modified>
</cp:coreProperties>
</file>