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Netflix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78.16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4164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9128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16639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48371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0.1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0.0075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0.315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0.365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0.16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0.09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0.2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0.35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0.005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0.03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-3%; Margin -2% pts; WACC +0.6%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+3%; Margin +3% pts; WACC -0.6%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-0.1</v>
      </c>
      <c r="D5" s="9" t="n">
        <v>-0.05</v>
      </c>
      <c r="E5" s="9" t="n">
        <v>0.012</v>
      </c>
      <c r="F5" s="9" t="n">
        <v>-0.005</v>
      </c>
      <c r="G5" s="9" t="n">
        <v>-0.03</v>
      </c>
      <c r="H5" s="6" t="inlineStr">
        <is>
          <t>Streaming economics re-intensify; ads disappoint; growth stalls to pricing-only</t>
        </is>
      </c>
    </row>
    <row r="6">
      <c r="A6" s="11" t="inlineStr">
        <is>
          <t>Bear</t>
        </is>
      </c>
      <c r="B6" s="9" t="n">
        <v>0.2</v>
      </c>
      <c r="C6" s="9" t="n">
        <v>-0.03</v>
      </c>
      <c r="D6" s="9" t="n">
        <v>-0.015</v>
      </c>
      <c r="E6" s="9" t="n">
        <v>0.006</v>
      </c>
      <c r="F6" s="9" t="n">
        <v>0</v>
      </c>
      <c r="G6" s="9" t="n">
        <v>-0.03</v>
      </c>
      <c r="H6" s="6" t="inlineStr">
        <is>
          <t>UCAN flattens, margin expansion stalls, ads below plan</t>
        </is>
      </c>
    </row>
    <row r="7">
      <c r="A7" s="11" t="inlineStr">
        <is>
          <t>Base</t>
        </is>
      </c>
      <c r="B7" s="9" t="n">
        <v>0.4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Guided execution: margins to ~36.5%, ads to ~$8-10B, 9% WACC</t>
        </is>
      </c>
    </row>
    <row r="8">
      <c r="A8" s="11" t="inlineStr">
        <is>
          <t>Bull</t>
        </is>
      </c>
      <c r="B8" s="9" t="n">
        <v>0.2</v>
      </c>
      <c r="C8" s="9" t="n">
        <v>0.03</v>
      </c>
      <c r="D8" s="9" t="n">
        <v>0.03</v>
      </c>
      <c r="E8" s="9" t="n">
        <v>-0.006</v>
      </c>
      <c r="F8" s="9" t="n">
        <v>0</v>
      </c>
      <c r="G8" s="9" t="n">
        <v>0.02</v>
      </c>
      <c r="H8" s="6" t="inlineStr">
        <is>
          <t>Ads scale to ~$15B by 2035; live/games extend engagement; re-rating to 8.4% WACC</t>
        </is>
      </c>
    </row>
    <row r="9">
      <c r="A9" s="11" t="inlineStr">
        <is>
          <t>Extreme Bull</t>
        </is>
      </c>
      <c r="B9" s="9" t="n">
        <v>0.1</v>
      </c>
      <c r="C9" s="9" t="n">
        <v>0.045</v>
      </c>
      <c r="D9" s="9" t="n">
        <v>0.045</v>
      </c>
      <c r="E9" s="9" t="n">
        <v>-0.012</v>
      </c>
      <c r="F9" s="9" t="n">
        <v>0.004</v>
      </c>
      <c r="G9" s="9" t="n">
        <v>0.03</v>
      </c>
      <c r="H9" s="6" t="inlineStr">
        <is>
          <t>Netflix becomes the global entertainment + advertising utility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44</v>
      </c>
      <c r="C14" s="10" t="n">
        <v>45</v>
      </c>
      <c r="D14" s="10" t="n">
        <v>46</v>
      </c>
      <c r="E14" s="10" t="n">
        <v>47</v>
      </c>
      <c r="F14" s="10" t="n">
        <v>48</v>
      </c>
      <c r="G14" s="10" t="n">
        <v>49</v>
      </c>
      <c r="H14" s="10" t="n">
        <v>50</v>
      </c>
      <c r="I14" s="10" t="n">
        <v>51</v>
      </c>
      <c r="J14" s="10" t="n">
        <v>52</v>
      </c>
      <c r="K14" s="10" t="n">
        <v>53</v>
      </c>
      <c r="L14" s="10" t="n">
        <v>54</v>
      </c>
    </row>
    <row r="15">
      <c r="A15" s="24" t="n">
        <v>0.3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  <c r="K15" s="25">
        <f>(K$14*$A15*(1-Inputs!$B$17)*(1-Inputs!$B$19/Inputs!$B$20))/((Inputs!$B$18)-Inputs!$B$19)</f>
        <v/>
      </c>
      <c r="L15" s="25">
        <f>(L$14*$A15*(1-Inputs!$B$17)*(1-Inputs!$B$19/Inputs!$B$20))/((Inputs!$B$18)-Inputs!$B$19)</f>
        <v/>
      </c>
    </row>
    <row r="16">
      <c r="A16" s="24" t="n">
        <v>0.32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  <c r="I16" s="25">
        <f>(I$14*$A16*(1-Inputs!$B$17)*(1-Inputs!$B$19/Inputs!$B$20))/((Inputs!$B$18)-Inputs!$B$19)</f>
        <v/>
      </c>
      <c r="J16" s="25">
        <f>(J$14*$A16*(1-Inputs!$B$17)*(1-Inputs!$B$19/Inputs!$B$20))/((Inputs!$B$18)-Inputs!$B$19)</f>
        <v/>
      </c>
      <c r="K16" s="25">
        <f>(K$14*$A16*(1-Inputs!$B$17)*(1-Inputs!$B$19/Inputs!$B$20))/((Inputs!$B$18)-Inputs!$B$19)</f>
        <v/>
      </c>
      <c r="L16" s="25">
        <f>(L$14*$A16*(1-Inputs!$B$17)*(1-Inputs!$B$19/Inputs!$B$20))/((Inputs!$B$18)-Inputs!$B$19)</f>
        <v/>
      </c>
    </row>
    <row r="17">
      <c r="A17" s="24" t="n">
        <v>0.34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  <c r="I17" s="25">
        <f>(I$14*$A17*(1-Inputs!$B$17)*(1-Inputs!$B$19/Inputs!$B$20))/((Inputs!$B$18)-Inputs!$B$19)</f>
        <v/>
      </c>
      <c r="J17" s="25">
        <f>(J$14*$A17*(1-Inputs!$B$17)*(1-Inputs!$B$19/Inputs!$B$20))/((Inputs!$B$18)-Inputs!$B$19)</f>
        <v/>
      </c>
      <c r="K17" s="25">
        <f>(K$14*$A17*(1-Inputs!$B$17)*(1-Inputs!$B$19/Inputs!$B$20))/((Inputs!$B$18)-Inputs!$B$19)</f>
        <v/>
      </c>
      <c r="L17" s="25">
        <f>(L$14*$A17*(1-Inputs!$B$17)*(1-Inputs!$B$19/Inputs!$B$20))/((Inputs!$B$18)-Inputs!$B$19)</f>
        <v/>
      </c>
    </row>
    <row r="18">
      <c r="A18" s="24" t="n">
        <v>0.36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  <c r="I18" s="25">
        <f>(I$14*$A18*(1-Inputs!$B$17)*(1-Inputs!$B$19/Inputs!$B$20))/((Inputs!$B$18)-Inputs!$B$19)</f>
        <v/>
      </c>
      <c r="J18" s="25">
        <f>(J$14*$A18*(1-Inputs!$B$17)*(1-Inputs!$B$19/Inputs!$B$20))/((Inputs!$B$18)-Inputs!$B$19)</f>
        <v/>
      </c>
      <c r="K18" s="25">
        <f>(K$14*$A18*(1-Inputs!$B$17)*(1-Inputs!$B$19/Inputs!$B$20))/((Inputs!$B$18)-Inputs!$B$19)</f>
        <v/>
      </c>
      <c r="L18" s="25">
        <f>(L$14*$A18*(1-Inputs!$B$17)*(1-Inputs!$B$19/Inputs!$B$20))/((Inputs!$B$18)-Inputs!$B$19)</f>
        <v/>
      </c>
    </row>
    <row r="19">
      <c r="A19" s="24" t="n">
        <v>0.3800000000000001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  <c r="H19" s="25">
        <f>(H$14*$A19*(1-Inputs!$B$17)*(1-Inputs!$B$19/Inputs!$B$20))/((Inputs!$B$18)-Inputs!$B$19)</f>
        <v/>
      </c>
      <c r="I19" s="25">
        <f>(I$14*$A19*(1-Inputs!$B$17)*(1-Inputs!$B$19/Inputs!$B$20))/((Inputs!$B$18)-Inputs!$B$19)</f>
        <v/>
      </c>
      <c r="J19" s="25">
        <f>(J$14*$A19*(1-Inputs!$B$17)*(1-Inputs!$B$19/Inputs!$B$20))/((Inputs!$B$18)-Inputs!$B$19)</f>
        <v/>
      </c>
      <c r="K19" s="25">
        <f>(K$14*$A19*(1-Inputs!$B$17)*(1-Inputs!$B$19/Inputs!$B$20))/((Inputs!$B$18)-Inputs!$B$19)</f>
        <v/>
      </c>
      <c r="L19" s="25">
        <f>(L$14*$A19*(1-Inputs!$B$17)*(1-Inputs!$B$19/Inputs!$B$20))/((Inputs!$B$18)-Inputs!$B$19)</f>
        <v/>
      </c>
    </row>
    <row r="20">
      <c r="A20" s="24" t="n">
        <v>0.4000000000000001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  <c r="H20" s="25">
        <f>(H$14*$A20*(1-Inputs!$B$17)*(1-Inputs!$B$19/Inputs!$B$20))/((Inputs!$B$18)-Inputs!$B$19)</f>
        <v/>
      </c>
      <c r="I20" s="25">
        <f>(I$14*$A20*(1-Inputs!$B$17)*(1-Inputs!$B$19/Inputs!$B$20))/((Inputs!$B$18)-Inputs!$B$19)</f>
        <v/>
      </c>
      <c r="J20" s="25">
        <f>(J$14*$A20*(1-Inputs!$B$17)*(1-Inputs!$B$19/Inputs!$B$20))/((Inputs!$B$18)-Inputs!$B$19)</f>
        <v/>
      </c>
      <c r="K20" s="25">
        <f>(K$14*$A20*(1-Inputs!$B$17)*(1-Inputs!$B$19/Inputs!$B$20))/((Inputs!$B$18)-Inputs!$B$19)</f>
        <v/>
      </c>
      <c r="L20" s="25">
        <f>(L$14*$A20*(1-Inputs!$B$17)*(1-Inputs!$B$19/Inputs!$B$20))/((Inputs!$B$18)-Inputs!$B$19)</f>
        <v/>
      </c>
    </row>
    <row r="21">
      <c r="A21" s="24" t="n">
        <v>0.4200000000000001</v>
      </c>
      <c r="B21" s="25">
        <f>(B$14*$A21*(1-Inputs!$B$17)*(1-Inputs!$B$19/Inputs!$B$20))/((Inputs!$B$18)-Inputs!$B$19)</f>
        <v/>
      </c>
      <c r="C21" s="25">
        <f>(C$14*$A21*(1-Inputs!$B$17)*(1-Inputs!$B$19/Inputs!$B$20))/((Inputs!$B$18)-Inputs!$B$19)</f>
        <v/>
      </c>
      <c r="D21" s="25">
        <f>(D$14*$A21*(1-Inputs!$B$17)*(1-Inputs!$B$19/Inputs!$B$20))/((Inputs!$B$18)-Inputs!$B$19)</f>
        <v/>
      </c>
      <c r="E21" s="25">
        <f>(E$14*$A21*(1-Inputs!$B$17)*(1-Inputs!$B$19/Inputs!$B$20))/((Inputs!$B$18)-Inputs!$B$19)</f>
        <v/>
      </c>
      <c r="F21" s="25">
        <f>(F$14*$A21*(1-Inputs!$B$17)*(1-Inputs!$B$19/Inputs!$B$20))/((Inputs!$B$18)-Inputs!$B$19)</f>
        <v/>
      </c>
      <c r="G21" s="25">
        <f>(G$14*$A21*(1-Inputs!$B$17)*(1-Inputs!$B$19/Inputs!$B$20))/((Inputs!$B$18)-Inputs!$B$19)</f>
        <v/>
      </c>
      <c r="H21" s="25">
        <f>(H$14*$A21*(1-Inputs!$B$17)*(1-Inputs!$B$19/Inputs!$B$20))/((Inputs!$B$18)-Inputs!$B$19)</f>
        <v/>
      </c>
      <c r="I21" s="25">
        <f>(I$14*$A21*(1-Inputs!$B$17)*(1-Inputs!$B$19/Inputs!$B$20))/((Inputs!$B$18)-Inputs!$B$19)</f>
        <v/>
      </c>
      <c r="J21" s="25">
        <f>(J$14*$A21*(1-Inputs!$B$17)*(1-Inputs!$B$19/Inputs!$B$20))/((Inputs!$B$18)-Inputs!$B$19)</f>
        <v/>
      </c>
      <c r="K21" s="25">
        <f>(K$14*$A21*(1-Inputs!$B$17)*(1-Inputs!$B$19/Inputs!$B$20))/((Inputs!$B$18)-Inputs!$B$19)</f>
        <v/>
      </c>
      <c r="L21" s="25">
        <f>(L$14*$A21*(1-Inputs!$B$17)*(1-Inputs!$B$19/Inputs!$B$20))/((Inputs!$B$18)-Inputs!$B$19)</f>
        <v/>
      </c>
    </row>
    <row r="22">
      <c r="A22" s="24" t="n">
        <v>0.4400000000000001</v>
      </c>
      <c r="B22" s="25">
        <f>(B$14*$A22*(1-Inputs!$B$17)*(1-Inputs!$B$19/Inputs!$B$20))/((Inputs!$B$18)-Inputs!$B$19)</f>
        <v/>
      </c>
      <c r="C22" s="25">
        <f>(C$14*$A22*(1-Inputs!$B$17)*(1-Inputs!$B$19/Inputs!$B$20))/((Inputs!$B$18)-Inputs!$B$19)</f>
        <v/>
      </c>
      <c r="D22" s="25">
        <f>(D$14*$A22*(1-Inputs!$B$17)*(1-Inputs!$B$19/Inputs!$B$20))/((Inputs!$B$18)-Inputs!$B$19)</f>
        <v/>
      </c>
      <c r="E22" s="25">
        <f>(E$14*$A22*(1-Inputs!$B$17)*(1-Inputs!$B$19/Inputs!$B$20))/((Inputs!$B$18)-Inputs!$B$19)</f>
        <v/>
      </c>
      <c r="F22" s="25">
        <f>(F$14*$A22*(1-Inputs!$B$17)*(1-Inputs!$B$19/Inputs!$B$20))/((Inputs!$B$18)-Inputs!$B$19)</f>
        <v/>
      </c>
      <c r="G22" s="25">
        <f>(G$14*$A22*(1-Inputs!$B$17)*(1-Inputs!$B$19/Inputs!$B$20))/((Inputs!$B$18)-Inputs!$B$19)</f>
        <v/>
      </c>
      <c r="H22" s="25">
        <f>(H$14*$A22*(1-Inputs!$B$17)*(1-Inputs!$B$19/Inputs!$B$20))/((Inputs!$B$18)-Inputs!$B$19)</f>
        <v/>
      </c>
      <c r="I22" s="25">
        <f>(I$14*$A22*(1-Inputs!$B$17)*(1-Inputs!$B$19/Inputs!$B$20))/((Inputs!$B$18)-Inputs!$B$19)</f>
        <v/>
      </c>
      <c r="J22" s="25">
        <f>(J$14*$A22*(1-Inputs!$B$17)*(1-Inputs!$B$19/Inputs!$B$20))/((Inputs!$B$18)-Inputs!$B$19)</f>
        <v/>
      </c>
      <c r="K22" s="25">
        <f>(K$14*$A22*(1-Inputs!$B$17)*(1-Inputs!$B$19/Inputs!$B$20))/((Inputs!$B$18)-Inputs!$B$19)</f>
        <v/>
      </c>
      <c r="L22" s="25">
        <f>(L$14*$A22*(1-Inputs!$B$17)*(1-Inputs!$B$19/Inputs!$B$20))/((Inputs!$B$18)-Inputs!$B$19)</f>
        <v/>
      </c>
    </row>
    <row r="23">
      <c r="A23" s="6" t="inlineStr">
        <is>
          <t>Grid cells are terminal EV in $ billions. Compare against implied EV above.</t>
        </is>
      </c>
    </row>
    <row r="24">
      <c r="A24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0.08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0.08500000000000001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0.09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0.095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44</v>
      </c>
      <c r="C13" s="10" t="n">
        <v>47</v>
      </c>
      <c r="D13" s="10" t="n">
        <v>50</v>
      </c>
      <c r="E13" s="10" t="n">
        <v>53</v>
      </c>
      <c r="F13" s="10" t="n">
        <v>56</v>
      </c>
      <c r="G13" s="10" t="n">
        <v>59</v>
      </c>
      <c r="H13" s="10" t="n">
        <v>62</v>
      </c>
    </row>
    <row r="14">
      <c r="A14" s="24" t="n">
        <v>0.3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  <c r="H14" s="25">
        <f>(H$13*$A14*(1-Inputs!$B$17)*(1-Inputs!$B$19/Inputs!$B$20))/((Inputs!$B$18)-Inputs!$B$19)</f>
        <v/>
      </c>
    </row>
    <row r="15">
      <c r="A15" s="24" t="n">
        <v>0.32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  <c r="H15" s="25">
        <f>(H$13*$A15*(1-Inputs!$B$17)*(1-Inputs!$B$19/Inputs!$B$20))/((Inputs!$B$18)-Inputs!$B$19)</f>
        <v/>
      </c>
    </row>
    <row r="16">
      <c r="A16" s="24" t="n">
        <v>0.34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  <c r="H16" s="25">
        <f>(H$13*$A16*(1-Inputs!$B$17)*(1-Inputs!$B$19/Inputs!$B$20))/((Inputs!$B$18)-Inputs!$B$19)</f>
        <v/>
      </c>
    </row>
    <row r="17">
      <c r="A17" s="24" t="n">
        <v>0.36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  <c r="H17" s="25">
        <f>(H$13*$A17*(1-Inputs!$B$17)*(1-Inputs!$B$19/Inputs!$B$20))/((Inputs!$B$18)-Inputs!$B$19)</f>
        <v/>
      </c>
    </row>
    <row r="18">
      <c r="A18" s="24" t="n">
        <v>0.38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  <c r="H18" s="25">
        <f>(H$13*$A18*(1-Inputs!$B$17)*(1-Inputs!$B$19/Inputs!$B$20))/((Inputs!$B$18)-Inputs!$B$19)</f>
        <v/>
      </c>
    </row>
    <row r="19">
      <c r="A19" s="24" t="n">
        <v>0.4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  <c r="G19" s="25">
        <f>(G$13*$A19*(1-Inputs!$B$17)*(1-Inputs!$B$19/Inputs!$B$20))/((Inputs!$B$18)-Inputs!$B$19)</f>
        <v/>
      </c>
      <c r="H19" s="25">
        <f>(H$13*$A19*(1-Inputs!$B$17)*(1-Inputs!$B$19/Inputs!$B$20))/((Inputs!$B$18)-Inputs!$B$19)</f>
        <v/>
      </c>
    </row>
    <row r="20">
      <c r="A20" s="24" t="n">
        <v>0.42</v>
      </c>
      <c r="B20" s="25">
        <f>(B$13*$A20*(1-Inputs!$B$17)*(1-Inputs!$B$19/Inputs!$B$20))/((Inputs!$B$18)-Inputs!$B$19)</f>
        <v/>
      </c>
      <c r="C20" s="25">
        <f>(C$13*$A20*(1-Inputs!$B$17)*(1-Inputs!$B$19/Inputs!$B$20))/((Inputs!$B$18)-Inputs!$B$19)</f>
        <v/>
      </c>
      <c r="D20" s="25">
        <f>(D$13*$A20*(1-Inputs!$B$17)*(1-Inputs!$B$19/Inputs!$B$20))/((Inputs!$B$18)-Inputs!$B$19)</f>
        <v/>
      </c>
      <c r="E20" s="25">
        <f>(E$13*$A20*(1-Inputs!$B$17)*(1-Inputs!$B$19/Inputs!$B$20))/((Inputs!$B$18)-Inputs!$B$19)</f>
        <v/>
      </c>
      <c r="F20" s="25">
        <f>(F$13*$A20*(1-Inputs!$B$17)*(1-Inputs!$B$19/Inputs!$B$20))/((Inputs!$B$18)-Inputs!$B$19)</f>
        <v/>
      </c>
      <c r="G20" s="25">
        <f>(G$13*$A20*(1-Inputs!$B$17)*(1-Inputs!$B$19/Inputs!$B$20))/((Inputs!$B$18)-Inputs!$B$19)</f>
        <v/>
      </c>
      <c r="H20" s="25">
        <f>(H$13*$A20*(1-Inputs!$B$17)*(1-Inputs!$B$19/Inputs!$B$20))/((Inputs!$B$18)-Inputs!$B$19)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2026-08-16T16:21:20Z</dcterms:created>
  <dcterms:modified xsi:type="dcterms:W3CDTF">2026-08-16T16:21:20Z</dcterms:modified>
</cp:coreProperties>
</file>