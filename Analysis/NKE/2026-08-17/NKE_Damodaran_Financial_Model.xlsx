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Nike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39.09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1483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9030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11040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46400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0.02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0.06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0.13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0.135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0.16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0.081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0.025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0.16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0.14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0.015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0.025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-2%; Margin -8%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+2%; Margin +5% pts; WACC -1.0%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-0.025</v>
      </c>
      <c r="D5" s="9" t="n">
        <v>-0.12</v>
      </c>
      <c r="E5" s="9" t="n">
        <v>0.025</v>
      </c>
      <c r="F5" s="9" t="n">
        <v>-0.005</v>
      </c>
      <c r="G5" s="9" t="n">
        <v>-0.05</v>
      </c>
      <c r="H5" s="6" t="inlineStr">
        <is>
          <t>China structural decline; wholesale collapse; competitive pressure from Anta/Li-Ning</t>
        </is>
      </c>
    </row>
    <row r="6">
      <c r="A6" s="11" t="inlineStr">
        <is>
          <t>Bear</t>
        </is>
      </c>
      <c r="B6" s="9" t="n">
        <v>0.2</v>
      </c>
      <c r="C6" s="9" t="n">
        <v>-0.015</v>
      </c>
      <c r="D6" s="9" t="n">
        <v>-0.08</v>
      </c>
      <c r="E6" s="9" t="n">
        <v>0.015</v>
      </c>
      <c r="F6" s="9" t="n">
        <v>-0.0025</v>
      </c>
      <c r="G6" s="9" t="n">
        <v>-0.03</v>
      </c>
      <c r="H6" s="6" t="inlineStr">
        <is>
          <t>China weakness persists 3+ years; wholesale softness; DTC growth moderates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Execution on turnaround; China stabilizes and returns to +1-2% growth; margin recovery to normalized 45.5%; DTC to 30%</t>
        </is>
      </c>
    </row>
    <row r="8">
      <c r="A8" s="11" t="inlineStr">
        <is>
          <t>Bull</t>
        </is>
      </c>
      <c r="B8" s="9" t="n">
        <v>0.25</v>
      </c>
      <c r="C8" s="9" t="n">
        <v>0.015</v>
      </c>
      <c r="D8" s="9" t="n">
        <v>0.05</v>
      </c>
      <c r="E8" s="9" t="n">
        <v>-0.01</v>
      </c>
      <c r="F8" s="9" t="n">
        <v>0.0025</v>
      </c>
      <c r="G8" s="9" t="n">
        <v>0.03</v>
      </c>
      <c r="H8" s="6" t="inlineStr">
        <is>
          <t>China recovers faster (+5% CAGR); DTC penetration accelerates to 35%; pricing power maintained; gross margin 46.5%</t>
        </is>
      </c>
    </row>
    <row r="9">
      <c r="A9" s="11" t="inlineStr">
        <is>
          <t>Extreme Bull</t>
        </is>
      </c>
      <c r="B9" s="9" t="n">
        <v>0.1</v>
      </c>
      <c r="C9" s="9" t="n">
        <v>0.035</v>
      </c>
      <c r="D9" s="9" t="n">
        <v>0.1</v>
      </c>
      <c r="E9" s="9" t="n">
        <v>-0.015</v>
      </c>
      <c r="F9" s="9" t="n">
        <v>0.01</v>
      </c>
      <c r="G9" s="9" t="n">
        <v>0.05</v>
      </c>
      <c r="H9" s="6" t="inlineStr">
        <is>
          <t>China growth strong (+8% CAGR); DTC 40%+ mix; product innovation exceeds expectations; international expansion (India, Vietnam) acceleration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5</v>
      </c>
      <c r="C14" s="10" t="n">
        <v>6</v>
      </c>
      <c r="D14" s="10" t="n">
        <v>7</v>
      </c>
      <c r="E14" s="10" t="n">
        <v>8</v>
      </c>
      <c r="F14" s="10" t="n">
        <v>9</v>
      </c>
      <c r="G14" s="10" t="n">
        <v>10</v>
      </c>
      <c r="H14" s="10" t="n">
        <v>11</v>
      </c>
      <c r="I14" s="10" t="n">
        <v>12</v>
      </c>
      <c r="J14" s="10" t="n">
        <v>13</v>
      </c>
      <c r="K14" s="10" t="n">
        <v>14</v>
      </c>
      <c r="L14" s="10" t="n">
        <v>15</v>
      </c>
    </row>
    <row r="15">
      <c r="A15" s="24" t="n">
        <v>0.11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</row>
    <row r="16">
      <c r="A16" s="6" t="inlineStr">
        <is>
          <t>Grid cells are terminal EV in $ billions. Compare against implied EV above.</t>
        </is>
      </c>
    </row>
    <row r="17">
      <c r="A17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0.095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0.105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0.115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0.125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0.135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6</v>
      </c>
      <c r="C13" s="10" t="n">
        <v>7</v>
      </c>
      <c r="D13" s="10" t="n">
        <v>8</v>
      </c>
      <c r="E13" s="10" t="n">
        <v>9</v>
      </c>
      <c r="F13" s="10" t="n">
        <v>10</v>
      </c>
      <c r="G13" s="10" t="n">
        <v>11</v>
      </c>
      <c r="H13" s="10" t="n">
        <v>12</v>
      </c>
    </row>
    <row r="14">
      <c r="A14" s="24" t="n">
        <v>0.2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  <c r="H14" s="25">
        <f>(H$13*$A14*(1-Inputs!$B$17)*(1-Inputs!$B$19/Inputs!$B$20))/((Inputs!$B$18)-Inputs!$B$19)</f>
        <v/>
      </c>
    </row>
    <row r="15">
      <c r="A15" s="24" t="n">
        <v>0.25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  <c r="H15" s="25">
        <f>(H$13*$A15*(1-Inputs!$B$17)*(1-Inputs!$B$19/Inputs!$B$20))/((Inputs!$B$18)-Inputs!$B$19)</f>
        <v/>
      </c>
    </row>
    <row r="16">
      <c r="A16" s="24" t="n">
        <v>0.3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  <c r="H16" s="25">
        <f>(H$13*$A16*(1-Inputs!$B$17)*(1-Inputs!$B$19/Inputs!$B$20))/((Inputs!$B$18)-Inputs!$B$19)</f>
        <v/>
      </c>
    </row>
    <row r="17">
      <c r="A17" s="24" t="n">
        <v>0.35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  <c r="H17" s="25">
        <f>(H$13*$A17*(1-Inputs!$B$17)*(1-Inputs!$B$19/Inputs!$B$20))/((Inputs!$B$18)-Inputs!$B$19)</f>
        <v/>
      </c>
    </row>
    <row r="18">
      <c r="A18" s="24" t="n">
        <v>0.4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  <c r="H18" s="25">
        <f>(H$13*$A18*(1-Inputs!$B$17)*(1-Inputs!$B$19/Inputs!$B$20))/((Inputs!$B$18)-Inputs!$B$19)</f>
        <v/>
      </c>
    </row>
    <row r="19">
      <c r="A19" s="24" t="n">
        <v>0.45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  <c r="H19" s="25">
        <f>(H$13*$A19*(1-Inputs!$B$17)*(1-Inputs!$B$19/Inputs!$B$20))/((Inputs!$B$18)-Inputs!$B$19)</f>
        <v/>
      </c>
    </row>
    <row r="20">
      <c r="A20" s="24" t="n">
        <v>0.5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  <c r="G20" s="25">
        <f>(G$13*$A20*(1-Inputs!$B$17)*(1-Inputs!$B$19/Inputs!$B$20))/((Inputs!$B$18)-Inputs!$B$19)</f>
        <v/>
      </c>
      <c r="H20" s="25">
        <f>(H$13*$A20*(1-Inputs!$B$17)*(1-Inputs!$B$19/Inputs!$B$20))/((Inputs!$B$18)-Inputs!$B$19)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2026-08-18T00:13:57Z</dcterms:created>
  <dcterms:modified xsi:type="dcterms:W3CDTF">2026-08-18T00:13:57Z</dcterms:modified>
</cp:coreProperties>
</file>