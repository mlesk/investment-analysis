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Cipher Digital Inc.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17.86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415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3600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5547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1400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0.2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0.03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0.36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0.48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0.21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0.1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0.025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0.17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0.24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0.015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0.05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-10%; Margin -8% pts; WACC +1.5%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+8%; Margin +4% pts; WACC -0.5%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0.1</v>
      </c>
      <c r="C5" s="9" t="n">
        <v>-0.18</v>
      </c>
      <c r="D5" s="9" t="n">
        <v>-0.15</v>
      </c>
      <c r="E5" s="9" t="n">
        <v>0.03</v>
      </c>
      <c r="F5" s="9" t="n">
        <v>-0.01</v>
      </c>
      <c r="G5" s="9" t="n">
        <v>-0.06</v>
      </c>
      <c r="H5" s="6" t="inlineStr">
        <is>
          <t>A major HPC lease fails/defaults or construction fails; equity near book value</t>
        </is>
      </c>
    </row>
    <row r="6">
      <c r="A6" s="11" t="inlineStr">
        <is>
          <t>Bear</t>
        </is>
      </c>
      <c r="B6" s="9" t="n">
        <v>0.2</v>
      </c>
      <c r="C6" s="9" t="n">
        <v>-0.1</v>
      </c>
      <c r="D6" s="9" t="n">
        <v>-0.08</v>
      </c>
      <c r="E6" s="9" t="n">
        <v>0.015</v>
      </c>
      <c r="F6" s="9" t="n">
        <v>-0.005</v>
      </c>
      <c r="G6" s="9" t="n">
        <v>-0.04</v>
      </c>
      <c r="H6" s="6" t="inlineStr">
        <is>
          <t>Only 2 of 3 leases deliver; weaker margins; little pipeline; WACC up</t>
        </is>
      </c>
    </row>
    <row r="7">
      <c r="A7" s="11" t="inlineStr">
        <is>
          <t>Base</t>
        </is>
      </c>
      <c r="B7" s="9" t="n">
        <v>0.4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Three leases ramp to ~$793M NOI; partial pipeline leased; normalized returns</t>
        </is>
      </c>
    </row>
    <row r="8">
      <c r="A8" s="11" t="inlineStr">
        <is>
          <t>Bull</t>
        </is>
      </c>
      <c r="B8" s="9" t="n">
        <v>0.2</v>
      </c>
      <c r="C8" s="9" t="n">
        <v>0.08</v>
      </c>
      <c r="D8" s="9" t="n">
        <v>0.04</v>
      </c>
      <c r="E8" s="9" t="n">
        <v>-0.005</v>
      </c>
      <c r="F8" s="9" t="n">
        <v>0.0025</v>
      </c>
      <c r="G8" s="9" t="n">
        <v>0.03</v>
      </c>
      <c r="H8" s="6" t="inlineStr">
        <is>
          <t>Strong pipeline monetization; rents improve; WACC down</t>
        </is>
      </c>
    </row>
    <row r="9">
      <c r="A9" s="11" t="inlineStr">
        <is>
          <t>Extreme Bull</t>
        </is>
      </c>
      <c r="B9" s="9" t="n">
        <v>0.1</v>
      </c>
      <c r="C9" s="9" t="n">
        <v>0.16</v>
      </c>
      <c r="D9" s="9" t="n">
        <v>0.07000000000000001</v>
      </c>
      <c r="E9" s="9" t="n">
        <v>-0.01</v>
      </c>
      <c r="F9" s="9" t="n">
        <v>0.005</v>
      </c>
      <c r="G9" s="9" t="n">
        <v>0.05</v>
      </c>
      <c r="H9" s="6" t="inlineStr">
        <is>
          <t>Full ~5 GW portfolio leased to investment-grade hyperscalers at scale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6</v>
      </c>
      <c r="C14" s="10" t="n">
        <v>7</v>
      </c>
      <c r="D14" s="10" t="n">
        <v>8</v>
      </c>
      <c r="E14" s="10" t="n">
        <v>9</v>
      </c>
      <c r="F14" s="10" t="n">
        <v>10</v>
      </c>
      <c r="G14" s="10" t="n">
        <v>11</v>
      </c>
      <c r="H14" s="10" t="n">
        <v>12</v>
      </c>
      <c r="I14" s="10" t="n">
        <v>13</v>
      </c>
      <c r="J14" s="10" t="n">
        <v>14</v>
      </c>
    </row>
    <row r="15">
      <c r="A15" s="24" t="n">
        <v>0.2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  <c r="H15" s="25">
        <f>(H$14*$A15*(1-Inputs!$B$17)*(1-Inputs!$B$19/Inputs!$B$20))/((Inputs!$B$18)-Inputs!$B$19)</f>
        <v/>
      </c>
      <c r="I15" s="25">
        <f>(I$14*$A15*(1-Inputs!$B$17)*(1-Inputs!$B$19/Inputs!$B$20))/((Inputs!$B$18)-Inputs!$B$19)</f>
        <v/>
      </c>
      <c r="J15" s="25">
        <f>(J$14*$A15*(1-Inputs!$B$17)*(1-Inputs!$B$19/Inputs!$B$20))/((Inputs!$B$18)-Inputs!$B$19)</f>
        <v/>
      </c>
    </row>
    <row r="16">
      <c r="A16" s="24" t="n">
        <v>0.25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  <c r="G16" s="25">
        <f>(G$14*$A16*(1-Inputs!$B$17)*(1-Inputs!$B$19/Inputs!$B$20))/((Inputs!$B$18)-Inputs!$B$19)</f>
        <v/>
      </c>
      <c r="H16" s="25">
        <f>(H$14*$A16*(1-Inputs!$B$17)*(1-Inputs!$B$19/Inputs!$B$20))/((Inputs!$B$18)-Inputs!$B$19)</f>
        <v/>
      </c>
      <c r="I16" s="25">
        <f>(I$14*$A16*(1-Inputs!$B$17)*(1-Inputs!$B$19/Inputs!$B$20))/((Inputs!$B$18)-Inputs!$B$19)</f>
        <v/>
      </c>
      <c r="J16" s="25">
        <f>(J$14*$A16*(1-Inputs!$B$17)*(1-Inputs!$B$19/Inputs!$B$20))/((Inputs!$B$18)-Inputs!$B$19)</f>
        <v/>
      </c>
    </row>
    <row r="17">
      <c r="A17" s="24" t="n">
        <v>0.3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  <c r="G17" s="25">
        <f>(G$14*$A17*(1-Inputs!$B$17)*(1-Inputs!$B$19/Inputs!$B$20))/((Inputs!$B$18)-Inputs!$B$19)</f>
        <v/>
      </c>
      <c r="H17" s="25">
        <f>(H$14*$A17*(1-Inputs!$B$17)*(1-Inputs!$B$19/Inputs!$B$20))/((Inputs!$B$18)-Inputs!$B$19)</f>
        <v/>
      </c>
      <c r="I17" s="25">
        <f>(I$14*$A17*(1-Inputs!$B$17)*(1-Inputs!$B$19/Inputs!$B$20))/((Inputs!$B$18)-Inputs!$B$19)</f>
        <v/>
      </c>
      <c r="J17" s="25">
        <f>(J$14*$A17*(1-Inputs!$B$17)*(1-Inputs!$B$19/Inputs!$B$20))/((Inputs!$B$18)-Inputs!$B$19)</f>
        <v/>
      </c>
    </row>
    <row r="18">
      <c r="A18" s="24" t="n">
        <v>0.35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  <c r="G18" s="25">
        <f>(G$14*$A18*(1-Inputs!$B$17)*(1-Inputs!$B$19/Inputs!$B$20))/((Inputs!$B$18)-Inputs!$B$19)</f>
        <v/>
      </c>
      <c r="H18" s="25">
        <f>(H$14*$A18*(1-Inputs!$B$17)*(1-Inputs!$B$19/Inputs!$B$20))/((Inputs!$B$18)-Inputs!$B$19)</f>
        <v/>
      </c>
      <c r="I18" s="25">
        <f>(I$14*$A18*(1-Inputs!$B$17)*(1-Inputs!$B$19/Inputs!$B$20))/((Inputs!$B$18)-Inputs!$B$19)</f>
        <v/>
      </c>
      <c r="J18" s="25">
        <f>(J$14*$A18*(1-Inputs!$B$17)*(1-Inputs!$B$19/Inputs!$B$20))/((Inputs!$B$18)-Inputs!$B$19)</f>
        <v/>
      </c>
    </row>
    <row r="19">
      <c r="A19" s="24" t="n">
        <v>0.4</v>
      </c>
      <c r="B19" s="25">
        <f>(B$14*$A19*(1-Inputs!$B$17)*(1-Inputs!$B$19/Inputs!$B$20))/((Inputs!$B$18)-Inputs!$B$19)</f>
        <v/>
      </c>
      <c r="C19" s="25">
        <f>(C$14*$A19*(1-Inputs!$B$17)*(1-Inputs!$B$19/Inputs!$B$20))/((Inputs!$B$18)-Inputs!$B$19)</f>
        <v/>
      </c>
      <c r="D19" s="25">
        <f>(D$14*$A19*(1-Inputs!$B$17)*(1-Inputs!$B$19/Inputs!$B$20))/((Inputs!$B$18)-Inputs!$B$19)</f>
        <v/>
      </c>
      <c r="E19" s="25">
        <f>(E$14*$A19*(1-Inputs!$B$17)*(1-Inputs!$B$19/Inputs!$B$20))/((Inputs!$B$18)-Inputs!$B$19)</f>
        <v/>
      </c>
      <c r="F19" s="25">
        <f>(F$14*$A19*(1-Inputs!$B$17)*(1-Inputs!$B$19/Inputs!$B$20))/((Inputs!$B$18)-Inputs!$B$19)</f>
        <v/>
      </c>
      <c r="G19" s="25">
        <f>(G$14*$A19*(1-Inputs!$B$17)*(1-Inputs!$B$19/Inputs!$B$20))/((Inputs!$B$18)-Inputs!$B$19)</f>
        <v/>
      </c>
      <c r="H19" s="25">
        <f>(H$14*$A19*(1-Inputs!$B$17)*(1-Inputs!$B$19/Inputs!$B$20))/((Inputs!$B$18)-Inputs!$B$19)</f>
        <v/>
      </c>
      <c r="I19" s="25">
        <f>(I$14*$A19*(1-Inputs!$B$17)*(1-Inputs!$B$19/Inputs!$B$20))/((Inputs!$B$18)-Inputs!$B$19)</f>
        <v/>
      </c>
      <c r="J19" s="25">
        <f>(J$14*$A19*(1-Inputs!$B$17)*(1-Inputs!$B$19/Inputs!$B$20))/((Inputs!$B$18)-Inputs!$B$19)</f>
        <v/>
      </c>
    </row>
    <row r="20">
      <c r="A20" s="24" t="n">
        <v>0.45</v>
      </c>
      <c r="B20" s="25">
        <f>(B$14*$A20*(1-Inputs!$B$17)*(1-Inputs!$B$19/Inputs!$B$20))/((Inputs!$B$18)-Inputs!$B$19)</f>
        <v/>
      </c>
      <c r="C20" s="25">
        <f>(C$14*$A20*(1-Inputs!$B$17)*(1-Inputs!$B$19/Inputs!$B$20))/((Inputs!$B$18)-Inputs!$B$19)</f>
        <v/>
      </c>
      <c r="D20" s="25">
        <f>(D$14*$A20*(1-Inputs!$B$17)*(1-Inputs!$B$19/Inputs!$B$20))/((Inputs!$B$18)-Inputs!$B$19)</f>
        <v/>
      </c>
      <c r="E20" s="25">
        <f>(E$14*$A20*(1-Inputs!$B$17)*(1-Inputs!$B$19/Inputs!$B$20))/((Inputs!$B$18)-Inputs!$B$19)</f>
        <v/>
      </c>
      <c r="F20" s="25">
        <f>(F$14*$A20*(1-Inputs!$B$17)*(1-Inputs!$B$19/Inputs!$B$20))/((Inputs!$B$18)-Inputs!$B$19)</f>
        <v/>
      </c>
      <c r="G20" s="25">
        <f>(G$14*$A20*(1-Inputs!$B$17)*(1-Inputs!$B$19/Inputs!$B$20))/((Inputs!$B$18)-Inputs!$B$19)</f>
        <v/>
      </c>
      <c r="H20" s="25">
        <f>(H$14*$A20*(1-Inputs!$B$17)*(1-Inputs!$B$19/Inputs!$B$20))/((Inputs!$B$18)-Inputs!$B$19)</f>
        <v/>
      </c>
      <c r="I20" s="25">
        <f>(I$14*$A20*(1-Inputs!$B$17)*(1-Inputs!$B$19/Inputs!$B$20))/((Inputs!$B$18)-Inputs!$B$19)</f>
        <v/>
      </c>
      <c r="J20" s="25">
        <f>(J$14*$A20*(1-Inputs!$B$17)*(1-Inputs!$B$19/Inputs!$B$20))/((Inputs!$B$18)-Inputs!$B$19)</f>
        <v/>
      </c>
    </row>
    <row r="21">
      <c r="A21" s="24" t="n">
        <v>0.4999999999999999</v>
      </c>
      <c r="B21" s="25">
        <f>(B$14*$A21*(1-Inputs!$B$17)*(1-Inputs!$B$19/Inputs!$B$20))/((Inputs!$B$18)-Inputs!$B$19)</f>
        <v/>
      </c>
      <c r="C21" s="25">
        <f>(C$14*$A21*(1-Inputs!$B$17)*(1-Inputs!$B$19/Inputs!$B$20))/((Inputs!$B$18)-Inputs!$B$19)</f>
        <v/>
      </c>
      <c r="D21" s="25">
        <f>(D$14*$A21*(1-Inputs!$B$17)*(1-Inputs!$B$19/Inputs!$B$20))/((Inputs!$B$18)-Inputs!$B$19)</f>
        <v/>
      </c>
      <c r="E21" s="25">
        <f>(E$14*$A21*(1-Inputs!$B$17)*(1-Inputs!$B$19/Inputs!$B$20))/((Inputs!$B$18)-Inputs!$B$19)</f>
        <v/>
      </c>
      <c r="F21" s="25">
        <f>(F$14*$A21*(1-Inputs!$B$17)*(1-Inputs!$B$19/Inputs!$B$20))/((Inputs!$B$18)-Inputs!$B$19)</f>
        <v/>
      </c>
      <c r="G21" s="25">
        <f>(G$14*$A21*(1-Inputs!$B$17)*(1-Inputs!$B$19/Inputs!$B$20))/((Inputs!$B$18)-Inputs!$B$19)</f>
        <v/>
      </c>
      <c r="H21" s="25">
        <f>(H$14*$A21*(1-Inputs!$B$17)*(1-Inputs!$B$19/Inputs!$B$20))/((Inputs!$B$18)-Inputs!$B$19)</f>
        <v/>
      </c>
      <c r="I21" s="25">
        <f>(I$14*$A21*(1-Inputs!$B$17)*(1-Inputs!$B$19/Inputs!$B$20))/((Inputs!$B$18)-Inputs!$B$19)</f>
        <v/>
      </c>
      <c r="J21" s="25">
        <f>(J$14*$A21*(1-Inputs!$B$17)*(1-Inputs!$B$19/Inputs!$B$20))/((Inputs!$B$18)-Inputs!$B$19)</f>
        <v/>
      </c>
    </row>
    <row r="22">
      <c r="A22" s="6" t="inlineStr">
        <is>
          <t>Grid cells are terminal EV in $ billions. Compare against implied EV above.</t>
        </is>
      </c>
    </row>
    <row r="23">
      <c r="A23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0.02</v>
      </c>
      <c r="C4" s="26" t="n">
        <v>0.025</v>
      </c>
      <c r="D4" s="26" t="n">
        <v>0.03</v>
      </c>
      <c r="E4" s="26" t="n">
        <v>0.035</v>
      </c>
    </row>
    <row r="5">
      <c r="A5" s="24" t="n">
        <v>0.08500000000000001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</row>
    <row r="6">
      <c r="A6" s="24" t="n">
        <v>0.095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</row>
    <row r="7">
      <c r="A7" s="24" t="n">
        <v>0.105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</row>
    <row r="8">
      <c r="A8" s="24" t="n">
        <v>0.115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</row>
    <row r="9">
      <c r="A9" s="24" t="n">
        <v>0.125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6</v>
      </c>
      <c r="C13" s="10" t="n">
        <v>8</v>
      </c>
      <c r="D13" s="10" t="n">
        <v>10</v>
      </c>
      <c r="E13" s="10" t="n">
        <v>12</v>
      </c>
      <c r="F13" s="10" t="n">
        <v>14</v>
      </c>
    </row>
    <row r="14">
      <c r="A14" s="24" t="n">
        <v>0.2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</row>
    <row r="15">
      <c r="A15" s="24" t="n">
        <v>0.25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</row>
    <row r="16">
      <c r="A16" s="24" t="n">
        <v>0.3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</row>
    <row r="17">
      <c r="A17" s="24" t="n">
        <v>0.35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</row>
    <row r="18">
      <c r="A18" s="24" t="n">
        <v>0.4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</row>
    <row r="19">
      <c r="A19" s="24" t="n">
        <v>0.45</v>
      </c>
      <c r="B19" s="25">
        <f>(B$13*$A19*(1-Inputs!$B$17)*(1-Inputs!$B$19/Inputs!$B$20))/((Inputs!$B$18)-Inputs!$B$19)</f>
        <v/>
      </c>
      <c r="C19" s="25">
        <f>(C$13*$A19*(1-Inputs!$B$17)*(1-Inputs!$B$19/Inputs!$B$20))/((Inputs!$B$18)-Inputs!$B$19)</f>
        <v/>
      </c>
      <c r="D19" s="25">
        <f>(D$13*$A19*(1-Inputs!$B$17)*(1-Inputs!$B$19/Inputs!$B$20))/((Inputs!$B$18)-Inputs!$B$19)</f>
        <v/>
      </c>
      <c r="E19" s="25">
        <f>(E$13*$A19*(1-Inputs!$B$17)*(1-Inputs!$B$19/Inputs!$B$20))/((Inputs!$B$18)-Inputs!$B$19)</f>
        <v/>
      </c>
      <c r="F19" s="25">
        <f>(F$13*$A19*(1-Inputs!$B$17)*(1-Inputs!$B$19/Inputs!$B$20))/((Inputs!$B$18)-Inputs!$B$19)</f>
        <v/>
      </c>
    </row>
    <row r="20">
      <c r="A20" s="24" t="n">
        <v>0.5</v>
      </c>
      <c r="B20" s="25">
        <f>(B$13*$A20*(1-Inputs!$B$17)*(1-Inputs!$B$19/Inputs!$B$20))/((Inputs!$B$18)-Inputs!$B$19)</f>
        <v/>
      </c>
      <c r="C20" s="25">
        <f>(C$13*$A20*(1-Inputs!$B$17)*(1-Inputs!$B$19/Inputs!$B$20))/((Inputs!$B$18)-Inputs!$B$19)</f>
        <v/>
      </c>
      <c r="D20" s="25">
        <f>(D$13*$A20*(1-Inputs!$B$17)*(1-Inputs!$B$19/Inputs!$B$20))/((Inputs!$B$18)-Inputs!$B$19)</f>
        <v/>
      </c>
      <c r="E20" s="25">
        <f>(E$13*$A20*(1-Inputs!$B$17)*(1-Inputs!$B$19/Inputs!$B$20))/((Inputs!$B$18)-Inputs!$B$19)</f>
        <v/>
      </c>
      <c r="F20" s="25">
        <f>(F$13*$A20*(1-Inputs!$B$17)*(1-Inputs!$B$19/Inputs!$B$20))/((Inputs!$B$18)-Inputs!$B$19)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2026-08-16T17:24:17Z</dcterms:created>
  <dcterms:modified xsi:type="dcterms:W3CDTF">2026-08-16T17:24:17Z</dcterms:modified>
</cp:coreProperties>
</file>