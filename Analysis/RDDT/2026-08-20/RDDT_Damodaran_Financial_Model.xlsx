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ME" sheetId="1" state="visible" r:id="rId1"/>
    <sheet name="Inputs" sheetId="2" state="visible" r:id="rId2"/>
    <sheet name="Scenarios" sheetId="3" state="visible" r:id="rId3"/>
    <sheet name="DCF-SevereBear" sheetId="4" state="visible" r:id="rId4"/>
    <sheet name="DCF-Bear" sheetId="5" state="visible" r:id="rId5"/>
    <sheet name="DCF-Base" sheetId="6" state="visible" r:id="rId6"/>
    <sheet name="DCF-Bull" sheetId="7" state="visible" r:id="rId7"/>
    <sheet name="DCF-ExtremeBull" sheetId="8" state="visible" r:id="rId8"/>
    <sheet name="Scenario Summary" sheetId="9" state="visible" r:id="rId9"/>
    <sheet name="Reverse DCF" sheetId="10" state="visible" r:id="rId10"/>
    <sheet name="Sensitivity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&quot;B&quot;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  <font>
      <name val="Calibri"/>
      <color rgb="00666666"/>
    </font>
    <font>
      <name val="Calibri"/>
      <color rgb="009C6500"/>
    </font>
    <font>
      <name val="Calibri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5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0" fillId="4" borderId="0" pivotButton="0" quotePrefix="0" xfId="0"/>
    <xf numFmtId="166" fontId="5" fillId="3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166" fontId="0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6" fontId="2" fillId="0" borderId="0" pivotButton="0" quotePrefix="0" xfId="0"/>
    <xf numFmtId="164" fontId="0" fillId="4" borderId="0" pivotButton="0" quotePrefix="0" xfId="0"/>
    <xf numFmtId="1" fontId="5" fillId="3" borderId="0" pivotButton="0" quotePrefix="0" xfId="0"/>
    <xf numFmtId="1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166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Copilot</author>
  </authors>
  <commentList>
    <comment ref="D10" authorId="0" shapeId="0">
      <text>
        <t>Sum of Probability × Standalone Intrinsic Value/Share across the five scenario DCF sheets.</t>
      </text>
    </comment>
    <comment ref="B17" authorId="0" shapeId="0">
      <text>
        <t>Expected annualized return = (weighted value / price)^(1/horizon) − 1.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Reddit — Damodaran-Style Scenario DCF Model</t>
        </is>
      </c>
    </row>
    <row r="3">
      <c r="A3" s="2" t="inlineStr">
        <is>
          <t>Purpose</t>
        </is>
      </c>
      <c r="B3" s="3" t="inlineStr">
        <is>
          <t>Scenario-driven FCFF model linking growth, margins, reinvestment, ROIC, WACC and terminal value.</t>
        </is>
      </c>
    </row>
    <row r="4">
      <c r="A4" s="2" t="inlineStr">
        <is>
          <t>Core philosophy</t>
        </is>
      </c>
      <c r="B4" s="3" t="inlineStr">
        <is>
          <t>Value = present value of expected cash flows. Price is an input for reverse DCF, not a valuation anchor.</t>
        </is>
      </c>
    </row>
    <row r="5">
      <c r="A5" s="2" t="inlineStr">
        <is>
          <t>How to use</t>
        </is>
      </c>
      <c r="B5" s="3" t="inlineStr">
        <is>
          <t>Change yellow cells on Inputs and Scenarios sheets. Each scenario has its own DCF sheet (DCF-SevereBear through DCF-ExtremeBull); the Scenario Summary sheet probability-weights their results. Green cells are formulas/links. Blue cells are labels/structure.</t>
        </is>
      </c>
    </row>
    <row r="6">
      <c r="A6" s="2" t="inlineStr">
        <is>
          <t>Primary outputs</t>
        </is>
      </c>
      <c r="B6" s="3" t="inlineStr">
        <is>
          <t>Five standalone scenario DCF values/share, probability-weighted value/share, expected upside/downside and annualized return, reverse-DCF implied growth/margin, sensitivity tables.</t>
        </is>
      </c>
    </row>
    <row r="7">
      <c r="A7" s="2" t="inlineStr">
        <is>
          <t>Important</t>
        </is>
      </c>
      <c r="B7" s="3" t="inlineStr">
        <is>
          <t>This is a modeling framework, not a live market-data feed. Replace the initial assumptions with the latest filing/price data before making an investment decision.</t>
        </is>
      </c>
    </row>
    <row r="8">
      <c r="A8" s="2" t="inlineStr">
        <is>
          <t>Model convention</t>
        </is>
      </c>
      <c r="B8" s="3" t="inlineStr">
        <is>
          <t>$ millions except per-share data, percentages. FCFF is calculated from NOPAT less reinvestment.</t>
        </is>
      </c>
    </row>
    <row r="9">
      <c r="A9" s="2" t="inlineStr">
        <is>
          <t>Model structure</t>
        </is>
      </c>
      <c r="B9" s="3" t="inlineStr">
        <is>
          <t>Five scenario DCF sheets, each a complete 10-year FCFF model with its own growth, margin, ROIC/reinvestment, WACC and terminal assumptions, feed a single probability-weighted Scenario Summary. The summary does not feed back into any DCF, so there are no circular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40" customWidth="1" min="4" max="4"/>
  </cols>
  <sheetData>
    <row r="1">
      <c r="A1" s="1" t="inlineStr">
        <is>
          <t>Inputs &amp; Current Facts</t>
        </is>
      </c>
    </row>
    <row r="3">
      <c r="A3" s="4" t="inlineStr">
        <is>
          <t>Current Market / Capital Structure</t>
        </is>
      </c>
    </row>
    <row r="4">
      <c r="A4" t="inlineStr">
        <is>
          <t>Reference share price</t>
        </is>
      </c>
      <c r="B4" s="5" t="n">
        <v>151.71</v>
      </c>
      <c r="C4" s="6" t="inlineStr">
        <is>
          <t>$/share</t>
        </is>
      </c>
      <c r="D4" s="6" t="inlineStr">
        <is>
          <t>User-editable</t>
        </is>
      </c>
    </row>
    <row r="5">
      <c r="A5" t="inlineStr">
        <is>
          <t>Diluted shares</t>
        </is>
      </c>
      <c r="B5" s="7" t="n">
        <v>192.4</v>
      </c>
      <c r="C5" s="6" t="inlineStr">
        <is>
          <t>mm</t>
        </is>
      </c>
      <c r="D5" s="6" t="inlineStr">
        <is>
          <t>Scenario assumption</t>
        </is>
      </c>
    </row>
    <row r="6">
      <c r="A6" t="inlineStr">
        <is>
          <t>Cash</t>
        </is>
      </c>
      <c r="B6" s="7" t="n">
        <v>2786</v>
      </c>
      <c r="C6" s="6" t="inlineStr">
        <is>
          <t>$mm</t>
        </is>
      </c>
      <c r="D6" s="6" t="inlineStr">
        <is>
          <t>Approximate latest-balance-sheet</t>
        </is>
      </c>
    </row>
    <row r="7">
      <c r="A7" t="inlineStr">
        <is>
          <t>Debt + finance leases</t>
        </is>
      </c>
      <c r="B7" s="7" t="n">
        <v>20.9</v>
      </c>
      <c r="C7" s="6" t="inlineStr">
        <is>
          <t>$mm</t>
        </is>
      </c>
      <c r="D7" s="6" t="inlineStr">
        <is>
          <t>Approximate</t>
        </is>
      </c>
    </row>
    <row r="8">
      <c r="A8" t="inlineStr">
        <is>
          <t>Net debt</t>
        </is>
      </c>
      <c r="B8" s="8">
        <f>B7-B6</f>
        <v/>
      </c>
      <c r="C8" s="6" t="inlineStr">
        <is>
          <t>$mm</t>
        </is>
      </c>
      <c r="D8" s="6" t="inlineStr">
        <is>
          <t>Debt less cash</t>
        </is>
      </c>
    </row>
    <row r="9">
      <c r="A9" t="inlineStr">
        <is>
          <t>Current revenue run-rate</t>
        </is>
      </c>
      <c r="B9" s="7" t="n">
        <v>2778.8</v>
      </c>
      <c r="C9" s="6" t="inlineStr">
        <is>
          <t>$mm</t>
        </is>
      </c>
      <c r="D9" s="6" t="inlineStr">
        <is>
          <t>Management-target-style anchor; replace with latest</t>
        </is>
      </c>
    </row>
    <row r="12">
      <c r="A12" s="4" t="inlineStr">
        <is>
          <t>Base Operating / Valuation Assumptions</t>
        </is>
      </c>
    </row>
    <row r="13">
      <c r="A13" t="inlineStr">
        <is>
          <t>Base revenue growth Y1</t>
        </is>
      </c>
      <c r="B13" s="9" t="n">
        <v>0.35</v>
      </c>
      <c r="C13" s="6" t="inlineStr">
        <is>
          <t>%</t>
        </is>
      </c>
      <c r="D13" s="6" t="inlineStr">
        <is>
          <t>High-growth transition</t>
        </is>
      </c>
    </row>
    <row r="14">
      <c r="A14" t="inlineStr">
        <is>
          <t>Growth decay per year</t>
        </is>
      </c>
      <c r="B14" s="9" t="n">
        <v>0.05</v>
      </c>
      <c r="C14" s="6" t="inlineStr">
        <is>
          <t>% pts</t>
        </is>
      </c>
      <c r="D14" s="6" t="inlineStr">
        <is>
          <t>Growth declines each year</t>
        </is>
      </c>
    </row>
    <row r="15">
      <c r="A15" t="inlineStr">
        <is>
          <t>Base EBIT margin Y1</t>
        </is>
      </c>
      <c r="B15" s="9" t="n">
        <v>0.285</v>
      </c>
      <c r="C15" s="6" t="inlineStr">
        <is>
          <t>%</t>
        </is>
      </c>
      <c r="D15" s="6" t="inlineStr">
        <is>
          <t>Editable</t>
        </is>
      </c>
    </row>
    <row r="16">
      <c r="A16" t="inlineStr">
        <is>
          <t>Terminal EBIT margin</t>
        </is>
      </c>
      <c r="B16" s="9" t="n">
        <v>0.34</v>
      </c>
      <c r="C16" s="6" t="inlineStr">
        <is>
          <t>%</t>
        </is>
      </c>
      <c r="D16" s="6" t="inlineStr">
        <is>
          <t>Editable</t>
        </is>
      </c>
    </row>
    <row r="17">
      <c r="A17" t="inlineStr">
        <is>
          <t>Tax rate</t>
        </is>
      </c>
      <c r="B17" s="9" t="n">
        <v>0.24</v>
      </c>
      <c r="C17" s="6" t="inlineStr">
        <is>
          <t>%</t>
        </is>
      </c>
      <c r="D17" s="6" t="inlineStr">
        <is>
          <t>Editable</t>
        </is>
      </c>
    </row>
    <row r="18">
      <c r="A18" t="inlineStr">
        <is>
          <t>Base WACC</t>
        </is>
      </c>
      <c r="B18" s="9" t="n">
        <v>0.12</v>
      </c>
      <c r="C18" s="6" t="inlineStr">
        <is>
          <t>%</t>
        </is>
      </c>
      <c r="D18" s="6" t="inlineStr">
        <is>
          <t>Editable</t>
        </is>
      </c>
    </row>
    <row r="19">
      <c r="A19" t="inlineStr">
        <is>
          <t>Terminal growth</t>
        </is>
      </c>
      <c r="B19" s="9" t="n">
        <v>0.03</v>
      </c>
      <c r="C19" s="6" t="inlineStr">
        <is>
          <t>%</t>
        </is>
      </c>
      <c r="D19" s="6" t="inlineStr">
        <is>
          <t>Must remain below WACC</t>
        </is>
      </c>
    </row>
    <row r="20">
      <c r="A20" t="inlineStr">
        <is>
          <t>Terminal ROIC</t>
        </is>
      </c>
      <c r="B20" s="9" t="n">
        <v>0.3</v>
      </c>
      <c r="C20" s="6" t="inlineStr">
        <is>
          <t>%</t>
        </is>
      </c>
      <c r="D20" s="6" t="inlineStr">
        <is>
          <t>Stable-state assumption</t>
        </is>
      </c>
    </row>
    <row r="21">
      <c r="A21" t="inlineStr">
        <is>
          <t>Initial ROIC</t>
        </is>
      </c>
      <c r="B21" s="9" t="n">
        <v>0.9</v>
      </c>
      <c r="C21" s="6" t="inlineStr">
        <is>
          <t>%</t>
        </is>
      </c>
      <c r="D21" s="6" t="inlineStr">
        <is>
          <t>Used for reinvestment</t>
        </is>
      </c>
    </row>
    <row r="22">
      <c r="A22" t="inlineStr">
        <is>
          <t>Margin expansion per year</t>
        </is>
      </c>
      <c r="B22" s="9" t="n">
        <v>0.01</v>
      </c>
      <c r="C22" s="6" t="inlineStr">
        <is>
          <t>% pts</t>
        </is>
      </c>
      <c r="D22" s="6" t="inlineStr">
        <is>
          <t>Until terminal margin</t>
        </is>
      </c>
    </row>
    <row r="23">
      <c r="A23" t="inlineStr">
        <is>
          <t>Minimum revenue growth</t>
        </is>
      </c>
      <c r="B23" s="9" t="n">
        <v>0.07000000000000001</v>
      </c>
      <c r="C23" s="6" t="inlineStr">
        <is>
          <t>%</t>
        </is>
      </c>
      <c r="D23" s="6" t="inlineStr">
        <is>
          <t>Floor before terminal</t>
        </is>
      </c>
    </row>
    <row r="26">
      <c r="A26" s="4" t="inlineStr">
        <is>
          <t>Scenario Multipliers / Overrides</t>
        </is>
      </c>
    </row>
    <row r="27">
      <c r="A27" t="inlineStr">
        <is>
          <t>Use Scenario Sheet</t>
        </is>
      </c>
      <c r="B27" s="7" t="b">
        <v>1</v>
      </c>
    </row>
    <row r="29">
      <c r="A29" t="inlineStr">
        <is>
          <t>Conservative</t>
        </is>
      </c>
      <c r="B29" s="6" t="inlineStr">
        <is>
          <t>Growth -11%; Margin -2% pts; WACC +0.5%</t>
        </is>
      </c>
    </row>
    <row r="30">
      <c r="A30" t="inlineStr">
        <is>
          <t>Base</t>
        </is>
      </c>
      <c r="B30" s="6" t="inlineStr">
        <is>
          <t>Base assumptions</t>
        </is>
      </c>
    </row>
    <row r="31">
      <c r="A31" t="inlineStr">
        <is>
          <t>Optimistic</t>
        </is>
      </c>
      <c r="B31" s="6" t="inlineStr">
        <is>
          <t>Growth +10%; Margin +2% pts; WACC -0.5%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10" customWidth="1" min="5" max="5"/>
    <col width="12" customWidth="1" min="6" max="6"/>
    <col width="10" customWidth="1" min="7" max="7"/>
    <col width="44" customWidth="1" min="8" max="8"/>
  </cols>
  <sheetData>
    <row r="1">
      <c r="A1" s="1" t="inlineStr">
        <is>
          <t>Scenario Controls</t>
        </is>
      </c>
    </row>
    <row r="3">
      <c r="A3" s="4" t="inlineStr">
        <is>
          <t>Scenario Inputs</t>
        </is>
      </c>
    </row>
    <row r="4">
      <c r="A4" s="10" t="inlineStr">
        <is>
          <t>Scenario</t>
        </is>
      </c>
      <c r="B4" s="10" t="inlineStr">
        <is>
          <t>Probability</t>
        </is>
      </c>
      <c r="C4" s="10" t="inlineStr">
        <is>
          <t>Growth Adj</t>
        </is>
      </c>
      <c r="D4" s="10" t="inlineStr">
        <is>
          <t>Margin Adj</t>
        </is>
      </c>
      <c r="E4" s="10" t="inlineStr">
        <is>
          <t>WACC Adj</t>
        </is>
      </c>
      <c r="F4" s="10" t="inlineStr">
        <is>
          <t>Terminal g Adj</t>
        </is>
      </c>
      <c r="G4" s="10" t="inlineStr">
        <is>
          <t>ROIC Adj</t>
        </is>
      </c>
      <c r="H4" s="10" t="inlineStr">
        <is>
          <t>Description</t>
        </is>
      </c>
    </row>
    <row r="5">
      <c r="A5" s="11" t="inlineStr">
        <is>
          <t>Bear</t>
        </is>
      </c>
      <c r="B5" s="9" t="n">
        <v>0.1</v>
      </c>
      <c r="C5" s="9" t="n">
        <v>-0.25</v>
      </c>
      <c r="D5" s="9" t="n">
        <v>-0.06</v>
      </c>
      <c r="E5" s="9" t="n">
        <v>0.015</v>
      </c>
      <c r="F5" s="9" t="n">
        <v>-0.005</v>
      </c>
      <c r="G5" s="9" t="n">
        <v>-0.15</v>
      </c>
      <c r="H5" s="6" t="inlineStr">
        <is>
          <t>Google referral collapse + AI-search displacement + ad-price war: Y1 growth 10%, margins 22.5%-&gt;28%, WACC 13.5%, TG 2.5%.</t>
        </is>
      </c>
    </row>
    <row r="6">
      <c r="A6" s="11" t="inlineStr">
        <is>
          <t>Conservative</t>
        </is>
      </c>
      <c r="B6" s="9" t="n">
        <v>0.25</v>
      </c>
      <c r="C6" s="9" t="n">
        <v>-0.11</v>
      </c>
      <c r="D6" s="9" t="n">
        <v>-0.02</v>
      </c>
      <c r="E6" s="9" t="n">
        <v>0.005</v>
      </c>
      <c r="F6" s="9" t="n">
        <v>0</v>
      </c>
      <c r="G6" s="9" t="n">
        <v>-0.05</v>
      </c>
      <c r="H6" s="6" t="inlineStr">
        <is>
          <t>Deceleration to low-teens growth and margin-grind stall: Y1 growth 24%, margins 26.5%-&gt;32%, WACC 12.5%.</t>
        </is>
      </c>
    </row>
    <row r="7">
      <c r="A7" s="11" t="inlineStr">
        <is>
          <t>Base</t>
        </is>
      </c>
      <c r="B7" s="9" t="n">
        <v>0.35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6" t="inlineStr">
        <is>
          <t>Consensus-like growth (35% decaying 5pts/yr to 15%), smooth 1pt/yr margin ramp to 32.5% (34% terminal), WACC 12.0%.</t>
        </is>
      </c>
    </row>
    <row r="8">
      <c r="A8" s="11" t="inlineStr">
        <is>
          <t>Optimistic</t>
        </is>
      </c>
      <c r="B8" s="9" t="n">
        <v>0.2</v>
      </c>
      <c r="C8" s="9" t="n">
        <v>0.1</v>
      </c>
      <c r="D8" s="9" t="n">
        <v>0.02</v>
      </c>
      <c r="E8" s="9" t="n">
        <v>-0.005</v>
      </c>
      <c r="F8" s="9" t="n">
        <v>0</v>
      </c>
      <c r="G8" s="9" t="n">
        <v>0.1</v>
      </c>
      <c r="H8" s="6" t="inlineStr">
        <is>
          <t>Google search normalizes, ads + data licensing compound: Y1 growth 45%, margins 30.5%-&gt;36%, WACC 11.5%.</t>
        </is>
      </c>
    </row>
    <row r="9">
      <c r="A9" s="11" t="inlineStr">
        <is>
          <t>Bull</t>
        </is>
      </c>
      <c r="B9" s="9" t="n">
        <v>0.1</v>
      </c>
      <c r="C9" s="9" t="n">
        <v>0.2</v>
      </c>
      <c r="D9" s="9" t="n">
        <v>0.05</v>
      </c>
      <c r="E9" s="9" t="n">
        <v>-0.01</v>
      </c>
      <c r="F9" s="9" t="n">
        <v>0.005</v>
      </c>
      <c r="G9" s="9" t="n">
        <v>0.2</v>
      </c>
      <c r="H9" s="6" t="inlineStr">
        <is>
          <t>Google deal renewed, AI licensing scales, Meta-like ARPU: Y1 growth 55%, margins 33.5%-&gt;39%, WACC 11.0%, TG 3.5%.</t>
        </is>
      </c>
    </row>
    <row r="12">
      <c r="A12" s="4" t="inlineStr">
        <is>
          <t>Scenario DCF Sheets</t>
        </is>
      </c>
    </row>
    <row r="13">
      <c r="A13" s="11" t="inlineStr">
        <is>
          <t>Bear</t>
        </is>
      </c>
      <c r="B13" s="12" t="inlineStr">
        <is>
          <t>DCF-SevereBear</t>
        </is>
      </c>
    </row>
    <row r="14">
      <c r="A14" s="11" t="inlineStr">
        <is>
          <t>Conservative</t>
        </is>
      </c>
      <c r="B14" s="12" t="inlineStr">
        <is>
          <t>DCF-Bear</t>
        </is>
      </c>
    </row>
    <row r="15">
      <c r="A15" s="11" t="inlineStr">
        <is>
          <t>Base</t>
        </is>
      </c>
      <c r="B15" s="12" t="inlineStr">
        <is>
          <t>DCF-Base</t>
        </is>
      </c>
    </row>
    <row r="16">
      <c r="A16" s="11" t="inlineStr">
        <is>
          <t>Optimistic</t>
        </is>
      </c>
      <c r="B16" s="12" t="inlineStr">
        <is>
          <t>DCF-Bull</t>
        </is>
      </c>
    </row>
    <row r="17">
      <c r="A17" s="11" t="inlineStr">
        <is>
          <t>Bull</t>
        </is>
      </c>
      <c r="B17" s="12" t="inlineStr">
        <is>
          <t>DCF-ExtremeBull</t>
        </is>
      </c>
    </row>
    <row r="19">
      <c r="A19" s="13" t="inlineStr">
        <is>
          <t>Each scenario row feeds its own DCF sheet. Edit the five scenario rows above; the Scenario Summary sheet probability-weights the five DCF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Severe Bear Scenario</t>
        </is>
      </c>
    </row>
    <row r="3">
      <c r="A3" s="2" t="inlineStr">
        <is>
          <t>Severe Bear Scenario Assumptions</t>
        </is>
      </c>
    </row>
    <row r="4">
      <c r="A4" t="inlineStr">
        <is>
          <t>Scenario</t>
        </is>
      </c>
      <c r="B4" s="12">
        <f>Scenarios!A5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Scenarios!B5</f>
        <v/>
      </c>
    </row>
    <row r="6">
      <c r="A6" t="inlineStr">
        <is>
          <t>Growth adjustment</t>
        </is>
      </c>
      <c r="B6" s="14">
        <f>Scenarios!C5</f>
        <v/>
      </c>
    </row>
    <row r="7">
      <c r="A7" t="inlineStr">
        <is>
          <t>Margin adjustment</t>
        </is>
      </c>
      <c r="B7" s="14">
        <f>Scenarios!D5</f>
        <v/>
      </c>
    </row>
    <row r="8">
      <c r="A8" t="inlineStr">
        <is>
          <t>WACC adjustment</t>
        </is>
      </c>
      <c r="B8" s="14">
        <f>Scenarios!E5</f>
        <v/>
      </c>
    </row>
    <row r="9">
      <c r="A9" t="inlineStr">
        <is>
          <t>Terminal g adjustment</t>
        </is>
      </c>
      <c r="B9" s="14">
        <f>Scenarios!F5</f>
        <v/>
      </c>
    </row>
    <row r="10">
      <c r="A10" t="inlineStr">
        <is>
          <t>ROIC adjustment</t>
        </is>
      </c>
      <c r="B10" s="14">
        <f>Scenarios!G5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Bear Scenario</t>
        </is>
      </c>
    </row>
    <row r="3">
      <c r="A3" s="2" t="inlineStr">
        <is>
          <t>Bear Scenario Assumptions</t>
        </is>
      </c>
    </row>
    <row r="4">
      <c r="A4" t="inlineStr">
        <is>
          <t>Scenario</t>
        </is>
      </c>
      <c r="B4" s="12">
        <f>Scenarios!A6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Scenarios!B6</f>
        <v/>
      </c>
    </row>
    <row r="6">
      <c r="A6" t="inlineStr">
        <is>
          <t>Growth adjustment</t>
        </is>
      </c>
      <c r="B6" s="14">
        <f>Scenarios!C6</f>
        <v/>
      </c>
    </row>
    <row r="7">
      <c r="A7" t="inlineStr">
        <is>
          <t>Margin adjustment</t>
        </is>
      </c>
      <c r="B7" s="14">
        <f>Scenarios!D6</f>
        <v/>
      </c>
    </row>
    <row r="8">
      <c r="A8" t="inlineStr">
        <is>
          <t>WACC adjustment</t>
        </is>
      </c>
      <c r="B8" s="14">
        <f>Scenarios!E6</f>
        <v/>
      </c>
    </row>
    <row r="9">
      <c r="A9" t="inlineStr">
        <is>
          <t>Terminal g adjustment</t>
        </is>
      </c>
      <c r="B9" s="14">
        <f>Scenarios!F6</f>
        <v/>
      </c>
    </row>
    <row r="10">
      <c r="A10" t="inlineStr">
        <is>
          <t>ROIC adjustment</t>
        </is>
      </c>
      <c r="B10" s="14">
        <f>Scenarios!G6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Base Scenario</t>
        </is>
      </c>
    </row>
    <row r="3">
      <c r="A3" s="2" t="inlineStr">
        <is>
          <t>Base Scenario Assumptions</t>
        </is>
      </c>
    </row>
    <row r="4">
      <c r="A4" t="inlineStr">
        <is>
          <t>Scenario</t>
        </is>
      </c>
      <c r="B4" s="12">
        <f>Scenarios!A7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Scenarios!B7</f>
        <v/>
      </c>
    </row>
    <row r="6">
      <c r="A6" t="inlineStr">
        <is>
          <t>Growth adjustment</t>
        </is>
      </c>
      <c r="B6" s="14">
        <f>Scenarios!C7</f>
        <v/>
      </c>
    </row>
    <row r="7">
      <c r="A7" t="inlineStr">
        <is>
          <t>Margin adjustment</t>
        </is>
      </c>
      <c r="B7" s="14">
        <f>Scenarios!D7</f>
        <v/>
      </c>
    </row>
    <row r="8">
      <c r="A8" t="inlineStr">
        <is>
          <t>WACC adjustment</t>
        </is>
      </c>
      <c r="B8" s="14">
        <f>Scenarios!E7</f>
        <v/>
      </c>
    </row>
    <row r="9">
      <c r="A9" t="inlineStr">
        <is>
          <t>Terminal g adjustment</t>
        </is>
      </c>
      <c r="B9" s="14">
        <f>Scenarios!F7</f>
        <v/>
      </c>
    </row>
    <row r="10">
      <c r="A10" t="inlineStr">
        <is>
          <t>ROIC adjustment</t>
        </is>
      </c>
      <c r="B10" s="14">
        <f>Scenarios!G7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Bull Scenario</t>
        </is>
      </c>
    </row>
    <row r="3">
      <c r="A3" s="2" t="inlineStr">
        <is>
          <t>Bull Scenario Assumptions</t>
        </is>
      </c>
    </row>
    <row r="4">
      <c r="A4" t="inlineStr">
        <is>
          <t>Scenario</t>
        </is>
      </c>
      <c r="B4" s="12">
        <f>Scenarios!A8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Scenarios!B8</f>
        <v/>
      </c>
    </row>
    <row r="6">
      <c r="A6" t="inlineStr">
        <is>
          <t>Growth adjustment</t>
        </is>
      </c>
      <c r="B6" s="14">
        <f>Scenarios!C8</f>
        <v/>
      </c>
    </row>
    <row r="7">
      <c r="A7" t="inlineStr">
        <is>
          <t>Margin adjustment</t>
        </is>
      </c>
      <c r="B7" s="14">
        <f>Scenarios!D8</f>
        <v/>
      </c>
    </row>
    <row r="8">
      <c r="A8" t="inlineStr">
        <is>
          <t>WACC adjustment</t>
        </is>
      </c>
      <c r="B8" s="14">
        <f>Scenarios!E8</f>
        <v/>
      </c>
    </row>
    <row r="9">
      <c r="A9" t="inlineStr">
        <is>
          <t>Terminal g adjustment</t>
        </is>
      </c>
      <c r="B9" s="14">
        <f>Scenarios!F8</f>
        <v/>
      </c>
    </row>
    <row r="10">
      <c r="A10" t="inlineStr">
        <is>
          <t>ROIC adjustment</t>
        </is>
      </c>
      <c r="B10" s="14">
        <f>Scenarios!G8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Extreme Bull Scenario</t>
        </is>
      </c>
    </row>
    <row r="3">
      <c r="A3" s="2" t="inlineStr">
        <is>
          <t>Extreme Bull Scenario Assumptions</t>
        </is>
      </c>
    </row>
    <row r="4">
      <c r="A4" t="inlineStr">
        <is>
          <t>Scenario</t>
        </is>
      </c>
      <c r="B4" s="12">
        <f>Scenarios!A9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Scenarios!B9</f>
        <v/>
      </c>
    </row>
    <row r="6">
      <c r="A6" t="inlineStr">
        <is>
          <t>Growth adjustment</t>
        </is>
      </c>
      <c r="B6" s="14">
        <f>Scenarios!C9</f>
        <v/>
      </c>
    </row>
    <row r="7">
      <c r="A7" t="inlineStr">
        <is>
          <t>Margin adjustment</t>
        </is>
      </c>
      <c r="B7" s="14">
        <f>Scenarios!D9</f>
        <v/>
      </c>
    </row>
    <row r="8">
      <c r="A8" t="inlineStr">
        <is>
          <t>WACC adjustment</t>
        </is>
      </c>
      <c r="B8" s="14">
        <f>Scenarios!E9</f>
        <v/>
      </c>
    </row>
    <row r="9">
      <c r="A9" t="inlineStr">
        <is>
          <t>Terminal g adjustment</t>
        </is>
      </c>
      <c r="B9" s="14">
        <f>Scenarios!F9</f>
        <v/>
      </c>
    </row>
    <row r="10">
      <c r="A10" t="inlineStr">
        <is>
          <t>ROIC adjustment</t>
        </is>
      </c>
      <c r="B10" s="14">
        <f>Scenarios!G9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46" customWidth="1" min="5" max="5"/>
  </cols>
  <sheetData>
    <row r="1">
      <c r="A1" s="4" t="inlineStr">
        <is>
          <t>Probability-Weighted Scenario Valuation</t>
        </is>
      </c>
    </row>
    <row r="3">
      <c r="A3" s="4" t="inlineStr">
        <is>
          <t>Scenario Valuation Table</t>
        </is>
      </c>
    </row>
    <row r="4">
      <c r="A4" s="2" t="inlineStr">
        <is>
          <t>Scenario</t>
        </is>
      </c>
      <c r="B4" s="2" t="inlineStr">
        <is>
          <t>Probability</t>
        </is>
      </c>
      <c r="C4" s="2" t="inlineStr">
        <is>
          <t>Standalone Intrinsic Value/Share</t>
        </is>
      </c>
      <c r="D4" s="2" t="inlineStr">
        <is>
          <t>Probability × Value</t>
        </is>
      </c>
      <c r="E4" s="2" t="inlineStr">
        <is>
          <t>Key Case</t>
        </is>
      </c>
    </row>
    <row r="5">
      <c r="A5" s="12">
        <f>Scenarios!A5</f>
        <v/>
      </c>
      <c r="B5" s="17">
        <f>Scenarios!B5</f>
        <v/>
      </c>
      <c r="C5" s="18">
        <f>'DCF-SevereBear'!B41</f>
        <v/>
      </c>
      <c r="D5" s="19">
        <f>B5*C5</f>
        <v/>
      </c>
      <c r="E5" s="6">
        <f>Scenarios!H5</f>
        <v/>
      </c>
    </row>
    <row r="6">
      <c r="A6" s="12">
        <f>Scenarios!A6</f>
        <v/>
      </c>
      <c r="B6" s="17">
        <f>Scenarios!B6</f>
        <v/>
      </c>
      <c r="C6" s="18">
        <f>'DCF-Bear'!B41</f>
        <v/>
      </c>
      <c r="D6" s="19">
        <f>B6*C6</f>
        <v/>
      </c>
      <c r="E6" s="6">
        <f>Scenarios!H6</f>
        <v/>
      </c>
    </row>
    <row r="7">
      <c r="A7" s="12">
        <f>Scenarios!A7</f>
        <v/>
      </c>
      <c r="B7" s="17">
        <f>Scenarios!B7</f>
        <v/>
      </c>
      <c r="C7" s="18">
        <f>'DCF-Base'!B41</f>
        <v/>
      </c>
      <c r="D7" s="19">
        <f>B7*C7</f>
        <v/>
      </c>
      <c r="E7" s="6">
        <f>Scenarios!H7</f>
        <v/>
      </c>
    </row>
    <row r="8">
      <c r="A8" s="12">
        <f>Scenarios!A8</f>
        <v/>
      </c>
      <c r="B8" s="17">
        <f>Scenarios!B8</f>
        <v/>
      </c>
      <c r="C8" s="18">
        <f>'DCF-Bull'!B41</f>
        <v/>
      </c>
      <c r="D8" s="19">
        <f>B8*C8</f>
        <v/>
      </c>
      <c r="E8" s="6">
        <f>Scenarios!H8</f>
        <v/>
      </c>
    </row>
    <row r="9">
      <c r="A9" s="12">
        <f>Scenarios!A9</f>
        <v/>
      </c>
      <c r="B9" s="17">
        <f>Scenarios!B9</f>
        <v/>
      </c>
      <c r="C9" s="18">
        <f>'DCF-ExtremeBull'!B41</f>
        <v/>
      </c>
      <c r="D9" s="19">
        <f>B9*C9</f>
        <v/>
      </c>
      <c r="E9" s="6">
        <f>Scenarios!H9</f>
        <v/>
      </c>
    </row>
    <row r="10">
      <c r="A10" s="2" t="inlineStr">
        <is>
          <t>Total / Expected Value</t>
        </is>
      </c>
      <c r="B10" s="20">
        <f>SUM(B5:B9)</f>
        <v/>
      </c>
      <c r="C10" t="inlineStr">
        <is>
          <t>—</t>
        </is>
      </c>
      <c r="D10" s="16">
        <f>SUM(D5:D9)</f>
        <v/>
      </c>
    </row>
    <row r="12">
      <c r="A12" s="4" t="inlineStr">
        <is>
          <t>Outputs</t>
        </is>
      </c>
    </row>
    <row r="13">
      <c r="A13" t="inlineStr">
        <is>
          <t>Probability-weighted intrinsic value / share</t>
        </is>
      </c>
      <c r="B13" s="21">
        <f>D10</f>
        <v/>
      </c>
    </row>
    <row r="14">
      <c r="A14" t="inlineStr">
        <is>
          <t>Current market price / share</t>
        </is>
      </c>
      <c r="B14" s="21">
        <f>Inputs!B4</f>
        <v/>
      </c>
    </row>
    <row r="15">
      <c r="A15" t="inlineStr">
        <is>
          <t>Expected upside / downside</t>
        </is>
      </c>
      <c r="B15" s="14">
        <f>B13/B14-1</f>
        <v/>
      </c>
    </row>
    <row r="16">
      <c r="A16" t="inlineStr">
        <is>
          <t>Investment horizon (years)</t>
        </is>
      </c>
      <c r="B16" s="22" t="n">
        <v>5</v>
      </c>
    </row>
    <row r="17">
      <c r="A17" t="inlineStr">
        <is>
          <t>Expected annualized return</t>
        </is>
      </c>
      <c r="B17" s="14">
        <f>(B13/B14)^(1/B16)-1</f>
        <v/>
      </c>
    </row>
    <row r="19" ht="40" customHeight="1">
      <c r="A19" s="13" t="inlineStr">
        <is>
          <t>Each scenario has its own complete 10-year FCFF DCF sheet with its own revenue growth, EBIT margin, ROIC/reinvestment, WACC and terminal assumptions. This summary only pulls the five standalone DCF results and probability-weights them — the summary never feeds back into any DCF, so there are no circular references.</t>
        </is>
      </c>
    </row>
  </sheetData>
  <mergeCells count="1">
    <mergeCell ref="A19:H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Reverse DCF — Market-Implied Fundamentals</t>
        </is>
      </c>
    </row>
    <row r="3">
      <c r="A3" s="4" t="inlineStr">
        <is>
          <t>Market Inputs</t>
        </is>
      </c>
    </row>
    <row r="4">
      <c r="A4" t="inlineStr">
        <is>
          <t>Current price</t>
        </is>
      </c>
      <c r="B4" s="21">
        <f>Inputs!B4</f>
        <v/>
      </c>
    </row>
    <row r="5">
      <c r="A5" t="inlineStr">
        <is>
          <t>Diluted shares</t>
        </is>
      </c>
      <c r="B5" s="23">
        <f>Inputs!B5</f>
        <v/>
      </c>
    </row>
    <row r="6">
      <c r="A6" t="inlineStr">
        <is>
          <t>Equity market value</t>
        </is>
      </c>
      <c r="B6" s="8">
        <f>B4*B5</f>
        <v/>
      </c>
    </row>
    <row r="7">
      <c r="A7" t="inlineStr">
        <is>
          <t>Net debt</t>
        </is>
      </c>
      <c r="B7" s="8">
        <f>Inputs!B8</f>
        <v/>
      </c>
    </row>
    <row r="8">
      <c r="A8" t="inlineStr">
        <is>
          <t>Enterprise value implied by price</t>
        </is>
      </c>
      <c r="B8" s="8">
        <f>B6+B7</f>
        <v/>
      </c>
    </row>
    <row r="9">
      <c r="A9" t="inlineStr">
        <is>
          <t>WACC</t>
        </is>
      </c>
      <c r="B9" s="14">
        <f>Inputs!B18</f>
        <v/>
      </c>
    </row>
    <row r="10">
      <c r="A10" t="inlineStr">
        <is>
          <t>Terminal growth</t>
        </is>
      </c>
      <c r="B10" s="14">
        <f>Inputs!B19</f>
        <v/>
      </c>
    </row>
    <row r="13">
      <c r="A13" s="4" t="inlineStr">
        <is>
          <t>Reverse DCF Grid — terminal revenue and margin combinations</t>
        </is>
      </c>
    </row>
    <row r="14">
      <c r="A14" s="2" t="inlineStr">
        <is>
          <t>Terminal Revenue</t>
        </is>
      </c>
      <c r="B14" s="10" t="n">
        <v>4</v>
      </c>
      <c r="C14" s="10" t="n">
        <v>6</v>
      </c>
      <c r="D14" s="10" t="n">
        <v>8</v>
      </c>
      <c r="E14" s="10" t="n">
        <v>10</v>
      </c>
      <c r="F14" s="10" t="n">
        <v>12</v>
      </c>
      <c r="G14" s="10" t="n">
        <v>14</v>
      </c>
      <c r="H14" s="10" t="n">
        <v>16</v>
      </c>
      <c r="I14" s="10" t="n">
        <v>18</v>
      </c>
      <c r="J14" s="10" t="n">
        <v>20</v>
      </c>
      <c r="K14" s="10" t="n">
        <v>22</v>
      </c>
    </row>
    <row r="15">
      <c r="A15" s="24" t="n">
        <v>0.2</v>
      </c>
      <c r="B15" s="25">
        <f>(B$14*$A15*(1-Inputs!$B$17)*(1-Inputs!$B$19/Inputs!$B$20))/((Inputs!$B$18)-Inputs!$B$19)</f>
        <v/>
      </c>
      <c r="C15" s="25">
        <f>(C$14*$A15*(1-Inputs!$B$17)*(1-Inputs!$B$19/Inputs!$B$20))/((Inputs!$B$18)-Inputs!$B$19)</f>
        <v/>
      </c>
      <c r="D15" s="25">
        <f>(D$14*$A15*(1-Inputs!$B$17)*(1-Inputs!$B$19/Inputs!$B$20))/((Inputs!$B$18)-Inputs!$B$19)</f>
        <v/>
      </c>
      <c r="E15" s="25">
        <f>(E$14*$A15*(1-Inputs!$B$17)*(1-Inputs!$B$19/Inputs!$B$20))/((Inputs!$B$18)-Inputs!$B$19)</f>
        <v/>
      </c>
      <c r="F15" s="25">
        <f>(F$14*$A15*(1-Inputs!$B$17)*(1-Inputs!$B$19/Inputs!$B$20))/((Inputs!$B$18)-Inputs!$B$19)</f>
        <v/>
      </c>
      <c r="G15" s="25">
        <f>(G$14*$A15*(1-Inputs!$B$17)*(1-Inputs!$B$19/Inputs!$B$20))/((Inputs!$B$18)-Inputs!$B$19)</f>
        <v/>
      </c>
      <c r="H15" s="25">
        <f>(H$14*$A15*(1-Inputs!$B$17)*(1-Inputs!$B$19/Inputs!$B$20))/((Inputs!$B$18)-Inputs!$B$19)</f>
        <v/>
      </c>
      <c r="I15" s="25">
        <f>(I$14*$A15*(1-Inputs!$B$17)*(1-Inputs!$B$19/Inputs!$B$20))/((Inputs!$B$18)-Inputs!$B$19)</f>
        <v/>
      </c>
      <c r="J15" s="25">
        <f>(J$14*$A15*(1-Inputs!$B$17)*(1-Inputs!$B$19/Inputs!$B$20))/((Inputs!$B$18)-Inputs!$B$19)</f>
        <v/>
      </c>
      <c r="K15" s="25">
        <f>(K$14*$A15*(1-Inputs!$B$17)*(1-Inputs!$B$19/Inputs!$B$20))/((Inputs!$B$18)-Inputs!$B$19)</f>
        <v/>
      </c>
      <c r="L15" s="25">
        <f>(L$14*$A15*(1-Inputs!$B$17)*(1-Inputs!$B$19/Inputs!$B$20))/((Inputs!$B$18)-Inputs!$B$19)</f>
        <v/>
      </c>
      <c r="M15" s="25">
        <f>(M$14*$A15*(1-Inputs!$B$17)*(1-Inputs!$B$19/Inputs!$B$20))/((Inputs!$B$18)-Inputs!$B$19)</f>
        <v/>
      </c>
      <c r="N15" s="25">
        <f>(N$14*$A15*(1-Inputs!$B$17)*(1-Inputs!$B$19/Inputs!$B$20))/((Inputs!$B$18)-Inputs!$B$19)</f>
        <v/>
      </c>
      <c r="O15" s="25">
        <f>(O$14*$A15*(1-Inputs!$B$17)*(1-Inputs!$B$19/Inputs!$B$20))/((Inputs!$B$18)-Inputs!$B$19)</f>
        <v/>
      </c>
      <c r="P15" s="25">
        <f>(P$14*$A15*(1-Inputs!$B$17)*(1-Inputs!$B$19/Inputs!$B$20))/((Inputs!$B$18)-Inputs!$B$19)</f>
        <v/>
      </c>
      <c r="Q15" s="25">
        <f>(Q$14*$A15*(1-Inputs!$B$17)*(1-Inputs!$B$19/Inputs!$B$20))/((Inputs!$B$18)-Inputs!$B$19)</f>
        <v/>
      </c>
      <c r="R15" s="25">
        <f>(R$14*$A15*(1-Inputs!$B$17)*(1-Inputs!$B$19/Inputs!$B$20))/((Inputs!$B$18)-Inputs!$B$19)</f>
        <v/>
      </c>
      <c r="S15" s="25">
        <f>(S$14*$A15*(1-Inputs!$B$17)*(1-Inputs!$B$19/Inputs!$B$20))/((Inputs!$B$18)-Inputs!$B$19)</f>
        <v/>
      </c>
      <c r="T15" s="25">
        <f>(T$14*$A15*(1-Inputs!$B$17)*(1-Inputs!$B$19/Inputs!$B$20))/((Inputs!$B$18)-Inputs!$B$19)</f>
        <v/>
      </c>
    </row>
    <row r="16">
      <c r="A16" s="24" t="n">
        <v>0.25</v>
      </c>
      <c r="B16" s="25">
        <f>(B$14*$A16*(1-Inputs!$B$17)*(1-Inputs!$B$19/Inputs!$B$20))/((Inputs!$B$18)-Inputs!$B$19)</f>
        <v/>
      </c>
      <c r="C16" s="25">
        <f>(C$14*$A16*(1-Inputs!$B$17)*(1-Inputs!$B$19/Inputs!$B$20))/((Inputs!$B$18)-Inputs!$B$19)</f>
        <v/>
      </c>
      <c r="D16" s="25">
        <f>(D$14*$A16*(1-Inputs!$B$17)*(1-Inputs!$B$19/Inputs!$B$20))/((Inputs!$B$18)-Inputs!$B$19)</f>
        <v/>
      </c>
      <c r="E16" s="25">
        <f>(E$14*$A16*(1-Inputs!$B$17)*(1-Inputs!$B$19/Inputs!$B$20))/((Inputs!$B$18)-Inputs!$B$19)</f>
        <v/>
      </c>
      <c r="F16" s="25">
        <f>(F$14*$A16*(1-Inputs!$B$17)*(1-Inputs!$B$19/Inputs!$B$20))/((Inputs!$B$18)-Inputs!$B$19)</f>
        <v/>
      </c>
      <c r="G16" s="25">
        <f>(G$14*$A16*(1-Inputs!$B$17)*(1-Inputs!$B$19/Inputs!$B$20))/((Inputs!$B$18)-Inputs!$B$19)</f>
        <v/>
      </c>
      <c r="H16" s="25">
        <f>(H$14*$A16*(1-Inputs!$B$17)*(1-Inputs!$B$19/Inputs!$B$20))/((Inputs!$B$18)-Inputs!$B$19)</f>
        <v/>
      </c>
      <c r="I16" s="25">
        <f>(I$14*$A16*(1-Inputs!$B$17)*(1-Inputs!$B$19/Inputs!$B$20))/((Inputs!$B$18)-Inputs!$B$19)</f>
        <v/>
      </c>
      <c r="J16" s="25">
        <f>(J$14*$A16*(1-Inputs!$B$17)*(1-Inputs!$B$19/Inputs!$B$20))/((Inputs!$B$18)-Inputs!$B$19)</f>
        <v/>
      </c>
      <c r="K16" s="25">
        <f>(K$14*$A16*(1-Inputs!$B$17)*(1-Inputs!$B$19/Inputs!$B$20))/((Inputs!$B$18)-Inputs!$B$19)</f>
        <v/>
      </c>
      <c r="L16" s="25">
        <f>(L$14*$A16*(1-Inputs!$B$17)*(1-Inputs!$B$19/Inputs!$B$20))/((Inputs!$B$18)-Inputs!$B$19)</f>
        <v/>
      </c>
      <c r="M16" s="25">
        <f>(M$14*$A16*(1-Inputs!$B$17)*(1-Inputs!$B$19/Inputs!$B$20))/((Inputs!$B$18)-Inputs!$B$19)</f>
        <v/>
      </c>
      <c r="N16" s="25">
        <f>(N$14*$A16*(1-Inputs!$B$17)*(1-Inputs!$B$19/Inputs!$B$20))/((Inputs!$B$18)-Inputs!$B$19)</f>
        <v/>
      </c>
      <c r="O16" s="25">
        <f>(O$14*$A16*(1-Inputs!$B$17)*(1-Inputs!$B$19/Inputs!$B$20))/((Inputs!$B$18)-Inputs!$B$19)</f>
        <v/>
      </c>
      <c r="P16" s="25">
        <f>(P$14*$A16*(1-Inputs!$B$17)*(1-Inputs!$B$19/Inputs!$B$20))/((Inputs!$B$18)-Inputs!$B$19)</f>
        <v/>
      </c>
      <c r="Q16" s="25">
        <f>(Q$14*$A16*(1-Inputs!$B$17)*(1-Inputs!$B$19/Inputs!$B$20))/((Inputs!$B$18)-Inputs!$B$19)</f>
        <v/>
      </c>
      <c r="R16" s="25">
        <f>(R$14*$A16*(1-Inputs!$B$17)*(1-Inputs!$B$19/Inputs!$B$20))/((Inputs!$B$18)-Inputs!$B$19)</f>
        <v/>
      </c>
      <c r="S16" s="25">
        <f>(S$14*$A16*(1-Inputs!$B$17)*(1-Inputs!$B$19/Inputs!$B$20))/((Inputs!$B$18)-Inputs!$B$19)</f>
        <v/>
      </c>
      <c r="T16" s="25">
        <f>(T$14*$A16*(1-Inputs!$B$17)*(1-Inputs!$B$19/Inputs!$B$20))/((Inputs!$B$18)-Inputs!$B$19)</f>
        <v/>
      </c>
    </row>
    <row r="17">
      <c r="A17" s="24" t="n">
        <v>0.3</v>
      </c>
      <c r="B17" s="25">
        <f>(B$14*$A17*(1-Inputs!$B$17)*(1-Inputs!$B$19/Inputs!$B$20))/((Inputs!$B$18)-Inputs!$B$19)</f>
        <v/>
      </c>
      <c r="C17" s="25">
        <f>(C$14*$A17*(1-Inputs!$B$17)*(1-Inputs!$B$19/Inputs!$B$20))/((Inputs!$B$18)-Inputs!$B$19)</f>
        <v/>
      </c>
      <c r="D17" s="25">
        <f>(D$14*$A17*(1-Inputs!$B$17)*(1-Inputs!$B$19/Inputs!$B$20))/((Inputs!$B$18)-Inputs!$B$19)</f>
        <v/>
      </c>
      <c r="E17" s="25">
        <f>(E$14*$A17*(1-Inputs!$B$17)*(1-Inputs!$B$19/Inputs!$B$20))/((Inputs!$B$18)-Inputs!$B$19)</f>
        <v/>
      </c>
      <c r="F17" s="25">
        <f>(F$14*$A17*(1-Inputs!$B$17)*(1-Inputs!$B$19/Inputs!$B$20))/((Inputs!$B$18)-Inputs!$B$19)</f>
        <v/>
      </c>
      <c r="G17" s="25">
        <f>(G$14*$A17*(1-Inputs!$B$17)*(1-Inputs!$B$19/Inputs!$B$20))/((Inputs!$B$18)-Inputs!$B$19)</f>
        <v/>
      </c>
      <c r="H17" s="25">
        <f>(H$14*$A17*(1-Inputs!$B$17)*(1-Inputs!$B$19/Inputs!$B$20))/((Inputs!$B$18)-Inputs!$B$19)</f>
        <v/>
      </c>
      <c r="I17" s="25">
        <f>(I$14*$A17*(1-Inputs!$B$17)*(1-Inputs!$B$19/Inputs!$B$20))/((Inputs!$B$18)-Inputs!$B$19)</f>
        <v/>
      </c>
      <c r="J17" s="25">
        <f>(J$14*$A17*(1-Inputs!$B$17)*(1-Inputs!$B$19/Inputs!$B$20))/((Inputs!$B$18)-Inputs!$B$19)</f>
        <v/>
      </c>
      <c r="K17" s="25">
        <f>(K$14*$A17*(1-Inputs!$B$17)*(1-Inputs!$B$19/Inputs!$B$20))/((Inputs!$B$18)-Inputs!$B$19)</f>
        <v/>
      </c>
      <c r="L17" s="25">
        <f>(L$14*$A17*(1-Inputs!$B$17)*(1-Inputs!$B$19/Inputs!$B$20))/((Inputs!$B$18)-Inputs!$B$19)</f>
        <v/>
      </c>
      <c r="M17" s="25">
        <f>(M$14*$A17*(1-Inputs!$B$17)*(1-Inputs!$B$19/Inputs!$B$20))/((Inputs!$B$18)-Inputs!$B$19)</f>
        <v/>
      </c>
      <c r="N17" s="25">
        <f>(N$14*$A17*(1-Inputs!$B$17)*(1-Inputs!$B$19/Inputs!$B$20))/((Inputs!$B$18)-Inputs!$B$19)</f>
        <v/>
      </c>
      <c r="O17" s="25">
        <f>(O$14*$A17*(1-Inputs!$B$17)*(1-Inputs!$B$19/Inputs!$B$20))/((Inputs!$B$18)-Inputs!$B$19)</f>
        <v/>
      </c>
      <c r="P17" s="25">
        <f>(P$14*$A17*(1-Inputs!$B$17)*(1-Inputs!$B$19/Inputs!$B$20))/((Inputs!$B$18)-Inputs!$B$19)</f>
        <v/>
      </c>
      <c r="Q17" s="25">
        <f>(Q$14*$A17*(1-Inputs!$B$17)*(1-Inputs!$B$19/Inputs!$B$20))/((Inputs!$B$18)-Inputs!$B$19)</f>
        <v/>
      </c>
      <c r="R17" s="25">
        <f>(R$14*$A17*(1-Inputs!$B$17)*(1-Inputs!$B$19/Inputs!$B$20))/((Inputs!$B$18)-Inputs!$B$19)</f>
        <v/>
      </c>
      <c r="S17" s="25">
        <f>(S$14*$A17*(1-Inputs!$B$17)*(1-Inputs!$B$19/Inputs!$B$20))/((Inputs!$B$18)-Inputs!$B$19)</f>
        <v/>
      </c>
      <c r="T17" s="25">
        <f>(T$14*$A17*(1-Inputs!$B$17)*(1-Inputs!$B$19/Inputs!$B$20))/((Inputs!$B$18)-Inputs!$B$19)</f>
        <v/>
      </c>
    </row>
    <row r="18">
      <c r="A18" s="24" t="n">
        <v>0.35</v>
      </c>
      <c r="B18" s="25">
        <f>(B$14*$A18*(1-Inputs!$B$17)*(1-Inputs!$B$19/Inputs!$B$20))/((Inputs!$B$18)-Inputs!$B$19)</f>
        <v/>
      </c>
      <c r="C18" s="25">
        <f>(C$14*$A18*(1-Inputs!$B$17)*(1-Inputs!$B$19/Inputs!$B$20))/((Inputs!$B$18)-Inputs!$B$19)</f>
        <v/>
      </c>
      <c r="D18" s="25">
        <f>(D$14*$A18*(1-Inputs!$B$17)*(1-Inputs!$B$19/Inputs!$B$20))/((Inputs!$B$18)-Inputs!$B$19)</f>
        <v/>
      </c>
      <c r="E18" s="25">
        <f>(E$14*$A18*(1-Inputs!$B$17)*(1-Inputs!$B$19/Inputs!$B$20))/((Inputs!$B$18)-Inputs!$B$19)</f>
        <v/>
      </c>
      <c r="F18" s="25">
        <f>(F$14*$A18*(1-Inputs!$B$17)*(1-Inputs!$B$19/Inputs!$B$20))/((Inputs!$B$18)-Inputs!$B$19)</f>
        <v/>
      </c>
      <c r="G18" s="25">
        <f>(G$14*$A18*(1-Inputs!$B$17)*(1-Inputs!$B$19/Inputs!$B$20))/((Inputs!$B$18)-Inputs!$B$19)</f>
        <v/>
      </c>
      <c r="H18" s="25">
        <f>(H$14*$A18*(1-Inputs!$B$17)*(1-Inputs!$B$19/Inputs!$B$20))/((Inputs!$B$18)-Inputs!$B$19)</f>
        <v/>
      </c>
      <c r="I18" s="25">
        <f>(I$14*$A18*(1-Inputs!$B$17)*(1-Inputs!$B$19/Inputs!$B$20))/((Inputs!$B$18)-Inputs!$B$19)</f>
        <v/>
      </c>
      <c r="J18" s="25">
        <f>(J$14*$A18*(1-Inputs!$B$17)*(1-Inputs!$B$19/Inputs!$B$20))/((Inputs!$B$18)-Inputs!$B$19)</f>
        <v/>
      </c>
      <c r="K18" s="25">
        <f>(K$14*$A18*(1-Inputs!$B$17)*(1-Inputs!$B$19/Inputs!$B$20))/((Inputs!$B$18)-Inputs!$B$19)</f>
        <v/>
      </c>
      <c r="L18" s="25">
        <f>(L$14*$A18*(1-Inputs!$B$17)*(1-Inputs!$B$19/Inputs!$B$20))/((Inputs!$B$18)-Inputs!$B$19)</f>
        <v/>
      </c>
      <c r="M18" s="25">
        <f>(M$14*$A18*(1-Inputs!$B$17)*(1-Inputs!$B$19/Inputs!$B$20))/((Inputs!$B$18)-Inputs!$B$19)</f>
        <v/>
      </c>
      <c r="N18" s="25">
        <f>(N$14*$A18*(1-Inputs!$B$17)*(1-Inputs!$B$19/Inputs!$B$20))/((Inputs!$B$18)-Inputs!$B$19)</f>
        <v/>
      </c>
      <c r="O18" s="25">
        <f>(O$14*$A18*(1-Inputs!$B$17)*(1-Inputs!$B$19/Inputs!$B$20))/((Inputs!$B$18)-Inputs!$B$19)</f>
        <v/>
      </c>
      <c r="P18" s="25">
        <f>(P$14*$A18*(1-Inputs!$B$17)*(1-Inputs!$B$19/Inputs!$B$20))/((Inputs!$B$18)-Inputs!$B$19)</f>
        <v/>
      </c>
      <c r="Q18" s="25">
        <f>(Q$14*$A18*(1-Inputs!$B$17)*(1-Inputs!$B$19/Inputs!$B$20))/((Inputs!$B$18)-Inputs!$B$19)</f>
        <v/>
      </c>
      <c r="R18" s="25">
        <f>(R$14*$A18*(1-Inputs!$B$17)*(1-Inputs!$B$19/Inputs!$B$20))/((Inputs!$B$18)-Inputs!$B$19)</f>
        <v/>
      </c>
      <c r="S18" s="25">
        <f>(S$14*$A18*(1-Inputs!$B$17)*(1-Inputs!$B$19/Inputs!$B$20))/((Inputs!$B$18)-Inputs!$B$19)</f>
        <v/>
      </c>
      <c r="T18" s="25">
        <f>(T$14*$A18*(1-Inputs!$B$17)*(1-Inputs!$B$19/Inputs!$B$20))/((Inputs!$B$18)-Inputs!$B$19)</f>
        <v/>
      </c>
    </row>
    <row r="19">
      <c r="A19" s="24" t="n">
        <v>0.4</v>
      </c>
      <c r="B19" s="25">
        <f>(B$14*$A19*(1-Inputs!$B$17)*(1-Inputs!$B$19/Inputs!$B$20))/((Inputs!$B$18)-Inputs!$B$19)</f>
        <v/>
      </c>
      <c r="C19" s="25">
        <f>(C$14*$A19*(1-Inputs!$B$17)*(1-Inputs!$B$19/Inputs!$B$20))/((Inputs!$B$18)-Inputs!$B$19)</f>
        <v/>
      </c>
      <c r="D19" s="25">
        <f>(D$14*$A19*(1-Inputs!$B$17)*(1-Inputs!$B$19/Inputs!$B$20))/((Inputs!$B$18)-Inputs!$B$19)</f>
        <v/>
      </c>
      <c r="E19" s="25">
        <f>(E$14*$A19*(1-Inputs!$B$17)*(1-Inputs!$B$19/Inputs!$B$20))/((Inputs!$B$18)-Inputs!$B$19)</f>
        <v/>
      </c>
      <c r="F19" s="25">
        <f>(F$14*$A19*(1-Inputs!$B$17)*(1-Inputs!$B$19/Inputs!$B$20))/((Inputs!$B$18)-Inputs!$B$19)</f>
        <v/>
      </c>
      <c r="G19" s="25">
        <f>(G$14*$A19*(1-Inputs!$B$17)*(1-Inputs!$B$19/Inputs!$B$20))/((Inputs!$B$18)-Inputs!$B$19)</f>
        <v/>
      </c>
      <c r="H19" s="25">
        <f>(H$14*$A19*(1-Inputs!$B$17)*(1-Inputs!$B$19/Inputs!$B$20))/((Inputs!$B$18)-Inputs!$B$19)</f>
        <v/>
      </c>
      <c r="I19" s="25">
        <f>(I$14*$A19*(1-Inputs!$B$17)*(1-Inputs!$B$19/Inputs!$B$20))/((Inputs!$B$18)-Inputs!$B$19)</f>
        <v/>
      </c>
      <c r="J19" s="25">
        <f>(J$14*$A19*(1-Inputs!$B$17)*(1-Inputs!$B$19/Inputs!$B$20))/((Inputs!$B$18)-Inputs!$B$19)</f>
        <v/>
      </c>
      <c r="K19" s="25">
        <f>(K$14*$A19*(1-Inputs!$B$17)*(1-Inputs!$B$19/Inputs!$B$20))/((Inputs!$B$18)-Inputs!$B$19)</f>
        <v/>
      </c>
      <c r="L19" s="25">
        <f>(L$14*$A19*(1-Inputs!$B$17)*(1-Inputs!$B$19/Inputs!$B$20))/((Inputs!$B$18)-Inputs!$B$19)</f>
        <v/>
      </c>
      <c r="M19" s="25">
        <f>(M$14*$A19*(1-Inputs!$B$17)*(1-Inputs!$B$19/Inputs!$B$20))/((Inputs!$B$18)-Inputs!$B$19)</f>
        <v/>
      </c>
      <c r="N19" s="25">
        <f>(N$14*$A19*(1-Inputs!$B$17)*(1-Inputs!$B$19/Inputs!$B$20))/((Inputs!$B$18)-Inputs!$B$19)</f>
        <v/>
      </c>
      <c r="O19" s="25">
        <f>(O$14*$A19*(1-Inputs!$B$17)*(1-Inputs!$B$19/Inputs!$B$20))/((Inputs!$B$18)-Inputs!$B$19)</f>
        <v/>
      </c>
      <c r="P19" s="25">
        <f>(P$14*$A19*(1-Inputs!$B$17)*(1-Inputs!$B$19/Inputs!$B$20))/((Inputs!$B$18)-Inputs!$B$19)</f>
        <v/>
      </c>
      <c r="Q19" s="25">
        <f>(Q$14*$A19*(1-Inputs!$B$17)*(1-Inputs!$B$19/Inputs!$B$20))/((Inputs!$B$18)-Inputs!$B$19)</f>
        <v/>
      </c>
      <c r="R19" s="25">
        <f>(R$14*$A19*(1-Inputs!$B$17)*(1-Inputs!$B$19/Inputs!$B$20))/((Inputs!$B$18)-Inputs!$B$19)</f>
        <v/>
      </c>
      <c r="S19" s="25">
        <f>(S$14*$A19*(1-Inputs!$B$17)*(1-Inputs!$B$19/Inputs!$B$20))/((Inputs!$B$18)-Inputs!$B$19)</f>
        <v/>
      </c>
      <c r="T19" s="25">
        <f>(T$14*$A19*(1-Inputs!$B$17)*(1-Inputs!$B$19/Inputs!$B$20))/((Inputs!$B$18)-Inputs!$B$19)</f>
        <v/>
      </c>
    </row>
    <row r="20">
      <c r="A20" s="24" t="n">
        <v>0.45</v>
      </c>
      <c r="B20" s="25">
        <f>(B$14*$A20*(1-Inputs!$B$17)*(1-Inputs!$B$19/Inputs!$B$20))/((Inputs!$B$18)-Inputs!$B$19)</f>
        <v/>
      </c>
      <c r="C20" s="25">
        <f>(C$14*$A20*(1-Inputs!$B$17)*(1-Inputs!$B$19/Inputs!$B$20))/((Inputs!$B$18)-Inputs!$B$19)</f>
        <v/>
      </c>
      <c r="D20" s="25">
        <f>(D$14*$A20*(1-Inputs!$B$17)*(1-Inputs!$B$19/Inputs!$B$20))/((Inputs!$B$18)-Inputs!$B$19)</f>
        <v/>
      </c>
      <c r="E20" s="25">
        <f>(E$14*$A20*(1-Inputs!$B$17)*(1-Inputs!$B$19/Inputs!$B$20))/((Inputs!$B$18)-Inputs!$B$19)</f>
        <v/>
      </c>
      <c r="F20" s="25">
        <f>(F$14*$A20*(1-Inputs!$B$17)*(1-Inputs!$B$19/Inputs!$B$20))/((Inputs!$B$18)-Inputs!$B$19)</f>
        <v/>
      </c>
      <c r="G20" s="25">
        <f>(G$14*$A20*(1-Inputs!$B$17)*(1-Inputs!$B$19/Inputs!$B$20))/((Inputs!$B$18)-Inputs!$B$19)</f>
        <v/>
      </c>
      <c r="H20" s="25">
        <f>(H$14*$A20*(1-Inputs!$B$17)*(1-Inputs!$B$19/Inputs!$B$20))/((Inputs!$B$18)-Inputs!$B$19)</f>
        <v/>
      </c>
      <c r="I20" s="25">
        <f>(I$14*$A20*(1-Inputs!$B$17)*(1-Inputs!$B$19/Inputs!$B$20))/((Inputs!$B$18)-Inputs!$B$19)</f>
        <v/>
      </c>
      <c r="J20" s="25">
        <f>(J$14*$A20*(1-Inputs!$B$17)*(1-Inputs!$B$19/Inputs!$B$20))/((Inputs!$B$18)-Inputs!$B$19)</f>
        <v/>
      </c>
      <c r="K20" s="25">
        <f>(K$14*$A20*(1-Inputs!$B$17)*(1-Inputs!$B$19/Inputs!$B$20))/((Inputs!$B$18)-Inputs!$B$19)</f>
        <v/>
      </c>
      <c r="L20" s="25">
        <f>(L$14*$A20*(1-Inputs!$B$17)*(1-Inputs!$B$19/Inputs!$B$20))/((Inputs!$B$18)-Inputs!$B$19)</f>
        <v/>
      </c>
      <c r="M20" s="25">
        <f>(M$14*$A20*(1-Inputs!$B$17)*(1-Inputs!$B$19/Inputs!$B$20))/((Inputs!$B$18)-Inputs!$B$19)</f>
        <v/>
      </c>
      <c r="N20" s="25">
        <f>(N$14*$A20*(1-Inputs!$B$17)*(1-Inputs!$B$19/Inputs!$B$20))/((Inputs!$B$18)-Inputs!$B$19)</f>
        <v/>
      </c>
      <c r="O20" s="25">
        <f>(O$14*$A20*(1-Inputs!$B$17)*(1-Inputs!$B$19/Inputs!$B$20))/((Inputs!$B$18)-Inputs!$B$19)</f>
        <v/>
      </c>
      <c r="P20" s="25">
        <f>(P$14*$A20*(1-Inputs!$B$17)*(1-Inputs!$B$19/Inputs!$B$20))/((Inputs!$B$18)-Inputs!$B$19)</f>
        <v/>
      </c>
      <c r="Q20" s="25">
        <f>(Q$14*$A20*(1-Inputs!$B$17)*(1-Inputs!$B$19/Inputs!$B$20))/((Inputs!$B$18)-Inputs!$B$19)</f>
        <v/>
      </c>
      <c r="R20" s="25">
        <f>(R$14*$A20*(1-Inputs!$B$17)*(1-Inputs!$B$19/Inputs!$B$20))/((Inputs!$B$18)-Inputs!$B$19)</f>
        <v/>
      </c>
      <c r="S20" s="25">
        <f>(S$14*$A20*(1-Inputs!$B$17)*(1-Inputs!$B$19/Inputs!$B$20))/((Inputs!$B$18)-Inputs!$B$19)</f>
        <v/>
      </c>
      <c r="T20" s="25">
        <f>(T$14*$A20*(1-Inputs!$B$17)*(1-Inputs!$B$19/Inputs!$B$20))/((Inputs!$B$18)-Inputs!$B$19)</f>
        <v/>
      </c>
    </row>
    <row r="21">
      <c r="A21" s="24" t="n">
        <v>0.4999999999999999</v>
      </c>
      <c r="B21" s="25">
        <f>(B$14*$A21*(1-Inputs!$B$17)*(1-Inputs!$B$19/Inputs!$B$20))/((Inputs!$B$18)-Inputs!$B$19)</f>
        <v/>
      </c>
      <c r="C21" s="25">
        <f>(C$14*$A21*(1-Inputs!$B$17)*(1-Inputs!$B$19/Inputs!$B$20))/((Inputs!$B$18)-Inputs!$B$19)</f>
        <v/>
      </c>
      <c r="D21" s="25">
        <f>(D$14*$A21*(1-Inputs!$B$17)*(1-Inputs!$B$19/Inputs!$B$20))/((Inputs!$B$18)-Inputs!$B$19)</f>
        <v/>
      </c>
      <c r="E21" s="25">
        <f>(E$14*$A21*(1-Inputs!$B$17)*(1-Inputs!$B$19/Inputs!$B$20))/((Inputs!$B$18)-Inputs!$B$19)</f>
        <v/>
      </c>
      <c r="F21" s="25">
        <f>(F$14*$A21*(1-Inputs!$B$17)*(1-Inputs!$B$19/Inputs!$B$20))/((Inputs!$B$18)-Inputs!$B$19)</f>
        <v/>
      </c>
      <c r="G21" s="25">
        <f>(G$14*$A21*(1-Inputs!$B$17)*(1-Inputs!$B$19/Inputs!$B$20))/((Inputs!$B$18)-Inputs!$B$19)</f>
        <v/>
      </c>
      <c r="H21" s="25">
        <f>(H$14*$A21*(1-Inputs!$B$17)*(1-Inputs!$B$19/Inputs!$B$20))/((Inputs!$B$18)-Inputs!$B$19)</f>
        <v/>
      </c>
      <c r="I21" s="25">
        <f>(I$14*$A21*(1-Inputs!$B$17)*(1-Inputs!$B$19/Inputs!$B$20))/((Inputs!$B$18)-Inputs!$B$19)</f>
        <v/>
      </c>
      <c r="J21" s="25">
        <f>(J$14*$A21*(1-Inputs!$B$17)*(1-Inputs!$B$19/Inputs!$B$20))/((Inputs!$B$18)-Inputs!$B$19)</f>
        <v/>
      </c>
      <c r="K21" s="25">
        <f>(K$14*$A21*(1-Inputs!$B$17)*(1-Inputs!$B$19/Inputs!$B$20))/((Inputs!$B$18)-Inputs!$B$19)</f>
        <v/>
      </c>
      <c r="L21" s="25">
        <f>(L$14*$A21*(1-Inputs!$B$17)*(1-Inputs!$B$19/Inputs!$B$20))/((Inputs!$B$18)-Inputs!$B$19)</f>
        <v/>
      </c>
      <c r="M21" s="25">
        <f>(M$14*$A21*(1-Inputs!$B$17)*(1-Inputs!$B$19/Inputs!$B$20))/((Inputs!$B$18)-Inputs!$B$19)</f>
        <v/>
      </c>
      <c r="N21" s="25">
        <f>(N$14*$A21*(1-Inputs!$B$17)*(1-Inputs!$B$19/Inputs!$B$20))/((Inputs!$B$18)-Inputs!$B$19)</f>
        <v/>
      </c>
      <c r="O21" s="25">
        <f>(O$14*$A21*(1-Inputs!$B$17)*(1-Inputs!$B$19/Inputs!$B$20))/((Inputs!$B$18)-Inputs!$B$19)</f>
        <v/>
      </c>
      <c r="P21" s="25">
        <f>(P$14*$A21*(1-Inputs!$B$17)*(1-Inputs!$B$19/Inputs!$B$20))/((Inputs!$B$18)-Inputs!$B$19)</f>
        <v/>
      </c>
      <c r="Q21" s="25">
        <f>(Q$14*$A21*(1-Inputs!$B$17)*(1-Inputs!$B$19/Inputs!$B$20))/((Inputs!$B$18)-Inputs!$B$19)</f>
        <v/>
      </c>
      <c r="R21" s="25">
        <f>(R$14*$A21*(1-Inputs!$B$17)*(1-Inputs!$B$19/Inputs!$B$20))/((Inputs!$B$18)-Inputs!$B$19)</f>
        <v/>
      </c>
      <c r="S21" s="25">
        <f>(S$14*$A21*(1-Inputs!$B$17)*(1-Inputs!$B$19/Inputs!$B$20))/((Inputs!$B$18)-Inputs!$B$19)</f>
        <v/>
      </c>
      <c r="T21" s="25">
        <f>(T$14*$A21*(1-Inputs!$B$17)*(1-Inputs!$B$19/Inputs!$B$20))/((Inputs!$B$18)-Inputs!$B$19)</f>
        <v/>
      </c>
    </row>
    <row r="22">
      <c r="A22" s="6" t="inlineStr">
        <is>
          <t>Grid cells are terminal EV in $ billions. Compare against implied EV above.</t>
        </is>
      </c>
    </row>
    <row r="23">
      <c r="A23" s="6" t="inlineStr">
        <is>
          <t>This is a simplified inversion; use the full DCF sheet for detailed annual assumptions.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Valuation Sensitivities</t>
        </is>
      </c>
    </row>
    <row r="3">
      <c r="A3" s="4" t="inlineStr">
        <is>
          <t>WACC × Terminal Growth — Approximate DCF Share Value</t>
        </is>
      </c>
    </row>
    <row r="4">
      <c r="A4" s="2" t="inlineStr">
        <is>
          <t>WACC \ g</t>
        </is>
      </c>
      <c r="B4" s="26" t="n">
        <v>0.02</v>
      </c>
      <c r="C4" s="26" t="n">
        <v>0.025</v>
      </c>
      <c r="D4" s="26" t="n">
        <v>0.03</v>
      </c>
      <c r="E4" s="26" t="n">
        <v>0.035</v>
      </c>
      <c r="F4" s="26" t="n">
        <v>0.04</v>
      </c>
    </row>
    <row r="5">
      <c r="A5" s="24" t="n">
        <v>0.095</v>
      </c>
      <c r="B5" s="21">
        <f>('DCF-Base'!$B$35+('DCF-Base'!$B$33/($A5-B$4))/(1+$A5)^10-Inputs!$B$8)/Inputs!$B$5</f>
        <v/>
      </c>
      <c r="C5" s="21">
        <f>('DCF-Base'!$B$35+('DCF-Base'!$B$33/($A5-C$4))/(1+$A5)^10-Inputs!$B$8)/Inputs!$B$5</f>
        <v/>
      </c>
      <c r="D5" s="21">
        <f>('DCF-Base'!$B$35+('DCF-Base'!$B$33/($A5-D$4))/(1+$A5)^10-Inputs!$B$8)/Inputs!$B$5</f>
        <v/>
      </c>
      <c r="E5" s="21">
        <f>('DCF-Base'!$B$35+('DCF-Base'!$B$33/($A5-E$4))/(1+$A5)^10-Inputs!$B$8)/Inputs!$B$5</f>
        <v/>
      </c>
      <c r="F5" s="21">
        <f>('DCF-Base'!$B$35+('DCF-Base'!$B$33/($A5-F$4))/(1+$A5)^10-Inputs!$B$8)/Inputs!$B$5</f>
        <v/>
      </c>
    </row>
    <row r="6">
      <c r="A6" s="24" t="n">
        <v>0.105</v>
      </c>
      <c r="B6" s="21">
        <f>('DCF-Base'!$B$35+('DCF-Base'!$B$33/($A6-B$4))/(1+$A6)^10-Inputs!$B$8)/Inputs!$B$5</f>
        <v/>
      </c>
      <c r="C6" s="21">
        <f>('DCF-Base'!$B$35+('DCF-Base'!$B$33/($A6-C$4))/(1+$A6)^10-Inputs!$B$8)/Inputs!$B$5</f>
        <v/>
      </c>
      <c r="D6" s="21">
        <f>('DCF-Base'!$B$35+('DCF-Base'!$B$33/($A6-D$4))/(1+$A6)^10-Inputs!$B$8)/Inputs!$B$5</f>
        <v/>
      </c>
      <c r="E6" s="21">
        <f>('DCF-Base'!$B$35+('DCF-Base'!$B$33/($A6-E$4))/(1+$A6)^10-Inputs!$B$8)/Inputs!$B$5</f>
        <v/>
      </c>
      <c r="F6" s="21">
        <f>('DCF-Base'!$B$35+('DCF-Base'!$B$33/($A6-F$4))/(1+$A6)^10-Inputs!$B$8)/Inputs!$B$5</f>
        <v/>
      </c>
    </row>
    <row r="7">
      <c r="A7" s="24" t="n">
        <v>0.115</v>
      </c>
      <c r="B7" s="21">
        <f>('DCF-Base'!$B$35+('DCF-Base'!$B$33/($A7-B$4))/(1+$A7)^10-Inputs!$B$8)/Inputs!$B$5</f>
        <v/>
      </c>
      <c r="C7" s="21">
        <f>('DCF-Base'!$B$35+('DCF-Base'!$B$33/($A7-C$4))/(1+$A7)^10-Inputs!$B$8)/Inputs!$B$5</f>
        <v/>
      </c>
      <c r="D7" s="21">
        <f>('DCF-Base'!$B$35+('DCF-Base'!$B$33/($A7-D$4))/(1+$A7)^10-Inputs!$B$8)/Inputs!$B$5</f>
        <v/>
      </c>
      <c r="E7" s="21">
        <f>('DCF-Base'!$B$35+('DCF-Base'!$B$33/($A7-E$4))/(1+$A7)^10-Inputs!$B$8)/Inputs!$B$5</f>
        <v/>
      </c>
      <c r="F7" s="21">
        <f>('DCF-Base'!$B$35+('DCF-Base'!$B$33/($A7-F$4))/(1+$A7)^10-Inputs!$B$8)/Inputs!$B$5</f>
        <v/>
      </c>
    </row>
    <row r="8">
      <c r="A8" s="24" t="n">
        <v>0.125</v>
      </c>
      <c r="B8" s="21">
        <f>('DCF-Base'!$B$35+('DCF-Base'!$B$33/($A8-B$4))/(1+$A8)^10-Inputs!$B$8)/Inputs!$B$5</f>
        <v/>
      </c>
      <c r="C8" s="21">
        <f>('DCF-Base'!$B$35+('DCF-Base'!$B$33/($A8-C$4))/(1+$A8)^10-Inputs!$B$8)/Inputs!$B$5</f>
        <v/>
      </c>
      <c r="D8" s="21">
        <f>('DCF-Base'!$B$35+('DCF-Base'!$B$33/($A8-D$4))/(1+$A8)^10-Inputs!$B$8)/Inputs!$B$5</f>
        <v/>
      </c>
      <c r="E8" s="21">
        <f>('DCF-Base'!$B$35+('DCF-Base'!$B$33/($A8-E$4))/(1+$A8)^10-Inputs!$B$8)/Inputs!$B$5</f>
        <v/>
      </c>
      <c r="F8" s="21">
        <f>('DCF-Base'!$B$35+('DCF-Base'!$B$33/($A8-F$4))/(1+$A8)^10-Inputs!$B$8)/Inputs!$B$5</f>
        <v/>
      </c>
    </row>
    <row r="9">
      <c r="A9" s="24" t="n">
        <v>0.135</v>
      </c>
      <c r="B9" s="21">
        <f>('DCF-Base'!$B$35+('DCF-Base'!$B$33/($A9-B$4))/(1+$A9)^10-Inputs!$B$8)/Inputs!$B$5</f>
        <v/>
      </c>
      <c r="C9" s="21">
        <f>('DCF-Base'!$B$35+('DCF-Base'!$B$33/($A9-C$4))/(1+$A9)^10-Inputs!$B$8)/Inputs!$B$5</f>
        <v/>
      </c>
      <c r="D9" s="21">
        <f>('DCF-Base'!$B$35+('DCF-Base'!$B$33/($A9-D$4))/(1+$A9)^10-Inputs!$B$8)/Inputs!$B$5</f>
        <v/>
      </c>
      <c r="E9" s="21">
        <f>('DCF-Base'!$B$35+('DCF-Base'!$B$33/($A9-E$4))/(1+$A9)^10-Inputs!$B$8)/Inputs!$B$5</f>
        <v/>
      </c>
      <c r="F9" s="21">
        <f>('DCF-Base'!$B$35+('DCF-Base'!$B$33/($A9-F$4))/(1+$A9)^10-Inputs!$B$8)/Inputs!$B$5</f>
        <v/>
      </c>
    </row>
    <row r="12">
      <c r="A12" s="4" t="inlineStr">
        <is>
          <t>Terminal EBIT Margin × Mature Revenue</t>
        </is>
      </c>
    </row>
    <row r="13">
      <c r="A13" s="2" t="inlineStr">
        <is>
          <t>Margin \ Revenue</t>
        </is>
      </c>
      <c r="B13" s="10" t="n">
        <v>6</v>
      </c>
      <c r="C13" s="10" t="n">
        <v>7</v>
      </c>
      <c r="D13" s="10" t="n">
        <v>8</v>
      </c>
      <c r="E13" s="10" t="n">
        <v>9</v>
      </c>
      <c r="F13" s="10" t="n">
        <v>10</v>
      </c>
      <c r="G13" s="10" t="n">
        <v>11</v>
      </c>
      <c r="H13" s="10" t="n">
        <v>12</v>
      </c>
    </row>
    <row r="14">
      <c r="A14" s="24" t="n">
        <v>0.2</v>
      </c>
      <c r="B14" s="25">
        <f>(B$13*$A14*(1-Inputs!$B$17)*(1-Inputs!$B$19/Inputs!$B$20))/((Inputs!$B$18)-Inputs!$B$19)</f>
        <v/>
      </c>
      <c r="C14" s="25">
        <f>(C$13*$A14*(1-Inputs!$B$17)*(1-Inputs!$B$19/Inputs!$B$20))/((Inputs!$B$18)-Inputs!$B$19)</f>
        <v/>
      </c>
      <c r="D14" s="25">
        <f>(D$13*$A14*(1-Inputs!$B$17)*(1-Inputs!$B$19/Inputs!$B$20))/((Inputs!$B$18)-Inputs!$B$19)</f>
        <v/>
      </c>
      <c r="E14" s="25">
        <f>(E$13*$A14*(1-Inputs!$B$17)*(1-Inputs!$B$19/Inputs!$B$20))/((Inputs!$B$18)-Inputs!$B$19)</f>
        <v/>
      </c>
      <c r="F14" s="25">
        <f>(F$13*$A14*(1-Inputs!$B$17)*(1-Inputs!$B$19/Inputs!$B$20))/((Inputs!$B$18)-Inputs!$B$19)</f>
        <v/>
      </c>
      <c r="G14" s="25">
        <f>(G$13*$A14*(1-Inputs!$B$17)*(1-Inputs!$B$19/Inputs!$B$20))/((Inputs!$B$18)-Inputs!$B$19)</f>
        <v/>
      </c>
      <c r="H14" s="25">
        <f>(H$13*$A14*(1-Inputs!$B$17)*(1-Inputs!$B$19/Inputs!$B$20))/((Inputs!$B$18)-Inputs!$B$19)</f>
        <v/>
      </c>
    </row>
    <row r="15">
      <c r="A15" s="24" t="n">
        <v>0.25</v>
      </c>
      <c r="B15" s="25">
        <f>(B$13*$A15*(1-Inputs!$B$17)*(1-Inputs!$B$19/Inputs!$B$20))/((Inputs!$B$18)-Inputs!$B$19)</f>
        <v/>
      </c>
      <c r="C15" s="25">
        <f>(C$13*$A15*(1-Inputs!$B$17)*(1-Inputs!$B$19/Inputs!$B$20))/((Inputs!$B$18)-Inputs!$B$19)</f>
        <v/>
      </c>
      <c r="D15" s="25">
        <f>(D$13*$A15*(1-Inputs!$B$17)*(1-Inputs!$B$19/Inputs!$B$20))/((Inputs!$B$18)-Inputs!$B$19)</f>
        <v/>
      </c>
      <c r="E15" s="25">
        <f>(E$13*$A15*(1-Inputs!$B$17)*(1-Inputs!$B$19/Inputs!$B$20))/((Inputs!$B$18)-Inputs!$B$19)</f>
        <v/>
      </c>
      <c r="F15" s="25">
        <f>(F$13*$A15*(1-Inputs!$B$17)*(1-Inputs!$B$19/Inputs!$B$20))/((Inputs!$B$18)-Inputs!$B$19)</f>
        <v/>
      </c>
      <c r="G15" s="25">
        <f>(G$13*$A15*(1-Inputs!$B$17)*(1-Inputs!$B$19/Inputs!$B$20))/((Inputs!$B$18)-Inputs!$B$19)</f>
        <v/>
      </c>
      <c r="H15" s="25">
        <f>(H$13*$A15*(1-Inputs!$B$17)*(1-Inputs!$B$19/Inputs!$B$20))/((Inputs!$B$18)-Inputs!$B$19)</f>
        <v/>
      </c>
    </row>
    <row r="16">
      <c r="A16" s="24" t="n">
        <v>0.3</v>
      </c>
      <c r="B16" s="25">
        <f>(B$13*$A16*(1-Inputs!$B$17)*(1-Inputs!$B$19/Inputs!$B$20))/((Inputs!$B$18)-Inputs!$B$19)</f>
        <v/>
      </c>
      <c r="C16" s="25">
        <f>(C$13*$A16*(1-Inputs!$B$17)*(1-Inputs!$B$19/Inputs!$B$20))/((Inputs!$B$18)-Inputs!$B$19)</f>
        <v/>
      </c>
      <c r="D16" s="25">
        <f>(D$13*$A16*(1-Inputs!$B$17)*(1-Inputs!$B$19/Inputs!$B$20))/((Inputs!$B$18)-Inputs!$B$19)</f>
        <v/>
      </c>
      <c r="E16" s="25">
        <f>(E$13*$A16*(1-Inputs!$B$17)*(1-Inputs!$B$19/Inputs!$B$20))/((Inputs!$B$18)-Inputs!$B$19)</f>
        <v/>
      </c>
      <c r="F16" s="25">
        <f>(F$13*$A16*(1-Inputs!$B$17)*(1-Inputs!$B$19/Inputs!$B$20))/((Inputs!$B$18)-Inputs!$B$19)</f>
        <v/>
      </c>
      <c r="G16" s="25">
        <f>(G$13*$A16*(1-Inputs!$B$17)*(1-Inputs!$B$19/Inputs!$B$20))/((Inputs!$B$18)-Inputs!$B$19)</f>
        <v/>
      </c>
      <c r="H16" s="25">
        <f>(H$13*$A16*(1-Inputs!$B$17)*(1-Inputs!$B$19/Inputs!$B$20))/((Inputs!$B$18)-Inputs!$B$19)</f>
        <v/>
      </c>
    </row>
    <row r="17">
      <c r="A17" s="24" t="n">
        <v>0.35</v>
      </c>
      <c r="B17" s="25">
        <f>(B$13*$A17*(1-Inputs!$B$17)*(1-Inputs!$B$19/Inputs!$B$20))/((Inputs!$B$18)-Inputs!$B$19)</f>
        <v/>
      </c>
      <c r="C17" s="25">
        <f>(C$13*$A17*(1-Inputs!$B$17)*(1-Inputs!$B$19/Inputs!$B$20))/((Inputs!$B$18)-Inputs!$B$19)</f>
        <v/>
      </c>
      <c r="D17" s="25">
        <f>(D$13*$A17*(1-Inputs!$B$17)*(1-Inputs!$B$19/Inputs!$B$20))/((Inputs!$B$18)-Inputs!$B$19)</f>
        <v/>
      </c>
      <c r="E17" s="25">
        <f>(E$13*$A17*(1-Inputs!$B$17)*(1-Inputs!$B$19/Inputs!$B$20))/((Inputs!$B$18)-Inputs!$B$19)</f>
        <v/>
      </c>
      <c r="F17" s="25">
        <f>(F$13*$A17*(1-Inputs!$B$17)*(1-Inputs!$B$19/Inputs!$B$20))/((Inputs!$B$18)-Inputs!$B$19)</f>
        <v/>
      </c>
      <c r="G17" s="25">
        <f>(G$13*$A17*(1-Inputs!$B$17)*(1-Inputs!$B$19/Inputs!$B$20))/((Inputs!$B$18)-Inputs!$B$19)</f>
        <v/>
      </c>
      <c r="H17" s="25">
        <f>(H$13*$A17*(1-Inputs!$B$17)*(1-Inputs!$B$19/Inputs!$B$20))/((Inputs!$B$18)-Inputs!$B$19)</f>
        <v/>
      </c>
    </row>
    <row r="18">
      <c r="A18" s="24" t="n">
        <v>0.4</v>
      </c>
      <c r="B18" s="25">
        <f>(B$13*$A18*(1-Inputs!$B$17)*(1-Inputs!$B$19/Inputs!$B$20))/((Inputs!$B$18)-Inputs!$B$19)</f>
        <v/>
      </c>
      <c r="C18" s="25">
        <f>(C$13*$A18*(1-Inputs!$B$17)*(1-Inputs!$B$19/Inputs!$B$20))/((Inputs!$B$18)-Inputs!$B$19)</f>
        <v/>
      </c>
      <c r="D18" s="25">
        <f>(D$13*$A18*(1-Inputs!$B$17)*(1-Inputs!$B$19/Inputs!$B$20))/((Inputs!$B$18)-Inputs!$B$19)</f>
        <v/>
      </c>
      <c r="E18" s="25">
        <f>(E$13*$A18*(1-Inputs!$B$17)*(1-Inputs!$B$19/Inputs!$B$20))/((Inputs!$B$18)-Inputs!$B$19)</f>
        <v/>
      </c>
      <c r="F18" s="25">
        <f>(F$13*$A18*(1-Inputs!$B$17)*(1-Inputs!$B$19/Inputs!$B$20))/((Inputs!$B$18)-Inputs!$B$19)</f>
        <v/>
      </c>
      <c r="G18" s="25">
        <f>(G$13*$A18*(1-Inputs!$B$17)*(1-Inputs!$B$19/Inputs!$B$20))/((Inputs!$B$18)-Inputs!$B$19)</f>
        <v/>
      </c>
      <c r="H18" s="25">
        <f>(H$13*$A18*(1-Inputs!$B$17)*(1-Inputs!$B$19/Inputs!$B$20))/((Inputs!$B$18)-Inputs!$B$19)</f>
        <v/>
      </c>
    </row>
    <row r="19">
      <c r="A19" s="24" t="n">
        <v>0.45</v>
      </c>
      <c r="B19" s="25">
        <f>(B$13*$A19*(1-Inputs!$B$17)*(1-Inputs!$B$19/Inputs!$B$20))/((Inputs!$B$18)-Inputs!$B$19)</f>
        <v/>
      </c>
      <c r="C19" s="25">
        <f>(C$13*$A19*(1-Inputs!$B$17)*(1-Inputs!$B$19/Inputs!$B$20))/((Inputs!$B$18)-Inputs!$B$19)</f>
        <v/>
      </c>
      <c r="D19" s="25">
        <f>(D$13*$A19*(1-Inputs!$B$17)*(1-Inputs!$B$19/Inputs!$B$20))/((Inputs!$B$18)-Inputs!$B$19)</f>
        <v/>
      </c>
      <c r="E19" s="25">
        <f>(E$13*$A19*(1-Inputs!$B$17)*(1-Inputs!$B$19/Inputs!$B$20))/((Inputs!$B$18)-Inputs!$B$19)</f>
        <v/>
      </c>
      <c r="F19" s="25">
        <f>(F$13*$A19*(1-Inputs!$B$17)*(1-Inputs!$B$19/Inputs!$B$20))/((Inputs!$B$18)-Inputs!$B$19)</f>
        <v/>
      </c>
      <c r="G19" s="25">
        <f>(G$13*$A19*(1-Inputs!$B$17)*(1-Inputs!$B$19/Inputs!$B$20))/((Inputs!$B$18)-Inputs!$B$19)</f>
        <v/>
      </c>
      <c r="H19" s="25">
        <f>(H$13*$A19*(1-Inputs!$B$17)*(1-Inputs!$B$19/Inputs!$B$20))/((Inputs!$B$18)-Inputs!$B$19)</f>
        <v/>
      </c>
    </row>
    <row r="20">
      <c r="A20" s="24" t="n">
        <v>0.5</v>
      </c>
      <c r="B20" s="25">
        <f>(B$13*$A20*(1-Inputs!$B$17)*(1-Inputs!$B$19/Inputs!$B$20))/((Inputs!$B$18)-Inputs!$B$19)</f>
        <v/>
      </c>
      <c r="C20" s="25">
        <f>(C$13*$A20*(1-Inputs!$B$17)*(1-Inputs!$B$19/Inputs!$B$20))/((Inputs!$B$18)-Inputs!$B$19)</f>
        <v/>
      </c>
      <c r="D20" s="25">
        <f>(D$13*$A20*(1-Inputs!$B$17)*(1-Inputs!$B$19/Inputs!$B$20))/((Inputs!$B$18)-Inputs!$B$19)</f>
        <v/>
      </c>
      <c r="E20" s="25">
        <f>(E$13*$A20*(1-Inputs!$B$17)*(1-Inputs!$B$19/Inputs!$B$20))/((Inputs!$B$18)-Inputs!$B$19)</f>
        <v/>
      </c>
      <c r="F20" s="25">
        <f>(F$13*$A20*(1-Inputs!$B$17)*(1-Inputs!$B$19/Inputs!$B$20))/((Inputs!$B$18)-Inputs!$B$19)</f>
        <v/>
      </c>
      <c r="G20" s="25">
        <f>(G$13*$A20*(1-Inputs!$B$17)*(1-Inputs!$B$19/Inputs!$B$20))/((Inputs!$B$18)-Inputs!$B$19)</f>
        <v/>
      </c>
      <c r="H20" s="25">
        <f>(H$13*$A20*(1-Inputs!$B$17)*(1-Inputs!$B$19/Inputs!$B$20))/((Inputs!$B$18)-Inputs!$B$19)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3">
      <c r="A3" s="4" t="inlineStr">
        <is>
          <t>Workbook-wide checks</t>
        </is>
      </c>
    </row>
    <row r="4">
      <c r="A4" t="inlineStr">
        <is>
          <t>Probability sum</t>
        </is>
      </c>
      <c r="B4" s="24">
        <f>SUM(Scenarios!B5:B9)</f>
        <v/>
      </c>
    </row>
    <row r="5">
      <c r="A5" t="inlineStr">
        <is>
          <t>Probability sum = 100%</t>
        </is>
      </c>
      <c r="B5" s="15">
        <f>ABS(B4-1)&lt;0.0001</f>
        <v/>
      </c>
    </row>
    <row r="7">
      <c r="A7" s="4" t="inlineStr">
        <is>
          <t>Per-scenario checks</t>
        </is>
      </c>
    </row>
    <row r="8">
      <c r="A8" s="10" t="inlineStr">
        <is>
          <t>Check</t>
        </is>
      </c>
      <c r="B8" s="10" t="inlineStr">
        <is>
          <t>SevereBear</t>
        </is>
      </c>
      <c r="C8" s="10" t="inlineStr">
        <is>
          <t>Bear</t>
        </is>
      </c>
      <c r="D8" s="10" t="inlineStr">
        <is>
          <t>Base</t>
        </is>
      </c>
      <c r="E8" s="10" t="inlineStr">
        <is>
          <t>Bull</t>
        </is>
      </c>
      <c r="F8" s="10" t="inlineStr">
        <is>
          <t>ExtremeBull</t>
        </is>
      </c>
    </row>
    <row r="9">
      <c r="A9" t="inlineStr">
        <is>
          <t>Terminal growth &lt; WACC</t>
        </is>
      </c>
      <c r="B9" s="15">
        <f>'DCF-SevereBear'!B30&lt;'DCF-SevereBear'!B11</f>
        <v/>
      </c>
      <c r="C9" s="15">
        <f>'DCF-Bear'!B30&lt;'DCF-Bear'!B11</f>
        <v/>
      </c>
      <c r="D9" s="15">
        <f>'DCF-Base'!B30&lt;'DCF-Base'!B11</f>
        <v/>
      </c>
      <c r="E9" s="15">
        <f>'DCF-Bull'!B30&lt;'DCF-Bull'!B11</f>
        <v/>
      </c>
      <c r="F9" s="15">
        <f>'DCF-ExtremeBull'!B30&lt;'DCF-ExtremeBull'!B11</f>
        <v/>
      </c>
    </row>
    <row r="10">
      <c r="A10" t="inlineStr">
        <is>
          <t>Terminal reinvestment &lt; 100%</t>
        </is>
      </c>
      <c r="B10" s="15">
        <f>'DCF-SevereBear'!B32&lt;1</f>
        <v/>
      </c>
      <c r="C10" s="15">
        <f>'DCF-Bear'!B32&lt;1</f>
        <v/>
      </c>
      <c r="D10" s="15">
        <f>'DCF-Base'!B32&lt;1</f>
        <v/>
      </c>
      <c r="E10" s="15">
        <f>'DCF-Bull'!B32&lt;1</f>
        <v/>
      </c>
      <c r="F10" s="15">
        <f>'DCF-ExtremeBull'!B32&lt;1</f>
        <v/>
      </c>
    </row>
    <row r="11">
      <c r="A11" t="inlineStr">
        <is>
          <t>Terminal FCFF &gt; 0</t>
        </is>
      </c>
      <c r="B11" s="15">
        <f>'DCF-SevereBear'!B33&gt;0</f>
        <v/>
      </c>
      <c r="C11" s="15">
        <f>'DCF-Bear'!B33&gt;0</f>
        <v/>
      </c>
      <c r="D11" s="15">
        <f>'DCF-Base'!B33&gt;0</f>
        <v/>
      </c>
      <c r="E11" s="15">
        <f>'DCF-Bull'!B33&gt;0</f>
        <v/>
      </c>
      <c r="F11" s="15">
        <f>'DCF-ExtremeBull'!B33&gt;0</f>
        <v/>
      </c>
    </row>
    <row r="12">
      <c r="A12" t="inlineStr">
        <is>
          <t>Intrinsic value / share &gt; 0</t>
        </is>
      </c>
      <c r="B12" s="15">
        <f>'DCF-SevereBear'!B41&gt;0</f>
        <v/>
      </c>
      <c r="C12" s="15">
        <f>'DCF-Bear'!B41&gt;0</f>
        <v/>
      </c>
      <c r="D12" s="15">
        <f>'DCF-Base'!B41&gt;0</f>
        <v/>
      </c>
      <c r="E12" s="15">
        <f>'DCF-Bull'!B41&gt;0</f>
        <v/>
      </c>
      <c r="F12" s="15">
        <f>'DCF-ExtremeBull'!B41&gt;0</f>
        <v/>
      </c>
    </row>
    <row r="14">
      <c r="A14" s="6" t="inlineStr">
        <is>
          <t>Green = pass. If a check fails, review assumptions before using the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2026-08-20T13:26:37Z</dcterms:created>
  <dcterms:modified xsi:type="dcterms:W3CDTF">2026-08-20T13:26:38Z</dcterms:modified>
</cp:coreProperties>
</file>