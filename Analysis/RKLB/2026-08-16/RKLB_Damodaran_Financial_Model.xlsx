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Rocket Lab Corporation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80.25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598.46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2302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133.69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951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0.45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0.045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0.05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0.22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0.12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0.18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0.1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0.019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0.04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-15%; Margin -2% pts; WACC +2.0%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+10%; Margin +3% pts; WACC -1.0%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-0.25</v>
      </c>
      <c r="D5" s="9" t="n">
        <v>-0.04</v>
      </c>
      <c r="E5" s="9" t="n">
        <v>0.03</v>
      </c>
      <c r="F5" s="9" t="n">
        <v>-0.01</v>
      </c>
      <c r="G5" s="9" t="n">
        <v>-0.04</v>
      </c>
      <c r="H5" s="6" t="inlineStr">
        <is>
          <t>Neutron fails/delays, Iridium deal collapses, space downturn, margins compress, risk spikes</t>
        </is>
      </c>
    </row>
    <row r="6">
      <c r="A6" s="11" t="inlineStr">
        <is>
          <t>Bear</t>
        </is>
      </c>
      <c r="B6" s="9" t="n">
        <v>0.2</v>
      </c>
      <c r="C6" s="9" t="n">
        <v>-0.15</v>
      </c>
      <c r="D6" s="9" t="n">
        <v>-0.02</v>
      </c>
      <c r="E6" s="9" t="n">
        <v>0.02</v>
      </c>
      <c r="F6" s="9" t="n">
        <v>-0.005</v>
      </c>
      <c r="G6" s="9" t="n">
        <v>-0.02</v>
      </c>
      <c r="H6" s="6" t="inlineStr">
        <is>
          <t>Neutron delayed, Iridium integration drags, slower growth, weaker margins, higher risk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Execution + Neutron + Iridium compound ~24% CAGR to ~$8B revenue; 22% EBIT margins; returns clear WACC</t>
        </is>
      </c>
    </row>
    <row r="8">
      <c r="A8" s="11" t="inlineStr">
        <is>
          <t>Bull</t>
        </is>
      </c>
      <c r="B8" s="9" t="n">
        <v>0.25</v>
      </c>
      <c r="C8" s="9" t="n">
        <v>0.1</v>
      </c>
      <c r="D8" s="9" t="n">
        <v>0.03</v>
      </c>
      <c r="E8" s="9" t="n">
        <v>-0.01</v>
      </c>
      <c r="F8" s="9" t="n">
        <v>0.005</v>
      </c>
      <c r="G8" s="9" t="n">
        <v>0.03</v>
      </c>
      <c r="H8" s="6" t="inlineStr">
        <is>
          <t>Neutron scales 1-3-5, Iridium accretive, space systems global leader; 25% margins</t>
        </is>
      </c>
    </row>
    <row r="9">
      <c r="A9" s="11" t="inlineStr">
        <is>
          <t>Extreme Bull</t>
        </is>
      </c>
      <c r="B9" s="9" t="n">
        <v>0.1</v>
      </c>
      <c r="C9" s="9" t="n">
        <v>0.18</v>
      </c>
      <c r="D9" s="9" t="n">
        <v>0.05</v>
      </c>
      <c r="E9" s="9" t="n">
        <v>-0.015</v>
      </c>
      <c r="F9" s="9" t="n">
        <v>0.0075</v>
      </c>
      <c r="G9" s="9" t="n">
        <v>0.05</v>
      </c>
      <c r="H9" s="6" t="inlineStr">
        <is>
          <t>Second-SpaceX outcome; ~$32B terminal revenue; sustained excess returns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8</v>
      </c>
      <c r="C14" s="10" t="n">
        <v>12</v>
      </c>
      <c r="D14" s="10" t="n">
        <v>16</v>
      </c>
      <c r="E14" s="10" t="n">
        <v>20</v>
      </c>
      <c r="F14" s="10" t="n">
        <v>24</v>
      </c>
      <c r="G14" s="10" t="n">
        <v>28</v>
      </c>
    </row>
    <row r="15">
      <c r="A15" s="24" t="n">
        <v>0.15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  <c r="M15" s="25">
        <f>(M$14*$A15*(1-Inputs!$B$17)*(1-Inputs!$B$19/Inputs!$B$20))/((Inputs!$B$18)-Inputs!$B$19)</f>
        <v/>
      </c>
      <c r="N15" s="25">
        <f>(N$14*$A15*(1-Inputs!$B$17)*(1-Inputs!$B$19/Inputs!$B$20))/((Inputs!$B$18)-Inputs!$B$19)</f>
        <v/>
      </c>
      <c r="O15" s="25">
        <f>(O$14*$A15*(1-Inputs!$B$17)*(1-Inputs!$B$19/Inputs!$B$20))/((Inputs!$B$18)-Inputs!$B$19)</f>
        <v/>
      </c>
      <c r="P15" s="25">
        <f>(P$14*$A15*(1-Inputs!$B$17)*(1-Inputs!$B$19/Inputs!$B$20))/((Inputs!$B$18)-Inputs!$B$19)</f>
        <v/>
      </c>
      <c r="Q15" s="25">
        <f>(Q$14*$A15*(1-Inputs!$B$17)*(1-Inputs!$B$19/Inputs!$B$20))/((Inputs!$B$18)-Inputs!$B$19)</f>
        <v/>
      </c>
      <c r="R15" s="25">
        <f>(R$14*$A15*(1-Inputs!$B$17)*(1-Inputs!$B$19/Inputs!$B$20))/((Inputs!$B$18)-Inputs!$B$19)</f>
        <v/>
      </c>
      <c r="S15" s="25">
        <f>(S$14*$A15*(1-Inputs!$B$17)*(1-Inputs!$B$19/Inputs!$B$20))/((Inputs!$B$18)-Inputs!$B$19)</f>
        <v/>
      </c>
      <c r="T15" s="25">
        <f>(T$14*$A15*(1-Inputs!$B$17)*(1-Inputs!$B$19/Inputs!$B$20))/((Inputs!$B$18)-Inputs!$B$19)</f>
        <v/>
      </c>
      <c r="U15" s="25">
        <f>(U$14*$A15*(1-Inputs!$B$17)*(1-Inputs!$B$19/Inputs!$B$20))/((Inputs!$B$18)-Inputs!$B$19)</f>
        <v/>
      </c>
      <c r="V15" s="25">
        <f>(V$14*$A15*(1-Inputs!$B$17)*(1-Inputs!$B$19/Inputs!$B$20))/((Inputs!$B$18)-Inputs!$B$19)</f>
        <v/>
      </c>
    </row>
    <row r="16">
      <c r="A16" s="24" t="n">
        <v>0.2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  <c r="K16" s="25">
        <f>(K$14*$A16*(1-Inputs!$B$17)*(1-Inputs!$B$19/Inputs!$B$20))/((Inputs!$B$18)-Inputs!$B$19)</f>
        <v/>
      </c>
      <c r="L16" s="25">
        <f>(L$14*$A16*(1-Inputs!$B$17)*(1-Inputs!$B$19/Inputs!$B$20))/((Inputs!$B$18)-Inputs!$B$19)</f>
        <v/>
      </c>
      <c r="M16" s="25">
        <f>(M$14*$A16*(1-Inputs!$B$17)*(1-Inputs!$B$19/Inputs!$B$20))/((Inputs!$B$18)-Inputs!$B$19)</f>
        <v/>
      </c>
      <c r="N16" s="25">
        <f>(N$14*$A16*(1-Inputs!$B$17)*(1-Inputs!$B$19/Inputs!$B$20))/((Inputs!$B$18)-Inputs!$B$19)</f>
        <v/>
      </c>
      <c r="O16" s="25">
        <f>(O$14*$A16*(1-Inputs!$B$17)*(1-Inputs!$B$19/Inputs!$B$20))/((Inputs!$B$18)-Inputs!$B$19)</f>
        <v/>
      </c>
      <c r="P16" s="25">
        <f>(P$14*$A16*(1-Inputs!$B$17)*(1-Inputs!$B$19/Inputs!$B$20))/((Inputs!$B$18)-Inputs!$B$19)</f>
        <v/>
      </c>
      <c r="Q16" s="25">
        <f>(Q$14*$A16*(1-Inputs!$B$17)*(1-Inputs!$B$19/Inputs!$B$20))/((Inputs!$B$18)-Inputs!$B$19)</f>
        <v/>
      </c>
      <c r="R16" s="25">
        <f>(R$14*$A16*(1-Inputs!$B$17)*(1-Inputs!$B$19/Inputs!$B$20))/((Inputs!$B$18)-Inputs!$B$19)</f>
        <v/>
      </c>
      <c r="S16" s="25">
        <f>(S$14*$A16*(1-Inputs!$B$17)*(1-Inputs!$B$19/Inputs!$B$20))/((Inputs!$B$18)-Inputs!$B$19)</f>
        <v/>
      </c>
      <c r="T16" s="25">
        <f>(T$14*$A16*(1-Inputs!$B$17)*(1-Inputs!$B$19/Inputs!$B$20))/((Inputs!$B$18)-Inputs!$B$19)</f>
        <v/>
      </c>
      <c r="U16" s="25">
        <f>(U$14*$A16*(1-Inputs!$B$17)*(1-Inputs!$B$19/Inputs!$B$20))/((Inputs!$B$18)-Inputs!$B$19)</f>
        <v/>
      </c>
      <c r="V16" s="25">
        <f>(V$14*$A16*(1-Inputs!$B$17)*(1-Inputs!$B$19/Inputs!$B$20))/((Inputs!$B$18)-Inputs!$B$19)</f>
        <v/>
      </c>
    </row>
    <row r="17">
      <c r="A17" s="24" t="n">
        <v>0.25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  <c r="K17" s="25">
        <f>(K$14*$A17*(1-Inputs!$B$17)*(1-Inputs!$B$19/Inputs!$B$20))/((Inputs!$B$18)-Inputs!$B$19)</f>
        <v/>
      </c>
      <c r="L17" s="25">
        <f>(L$14*$A17*(1-Inputs!$B$17)*(1-Inputs!$B$19/Inputs!$B$20))/((Inputs!$B$18)-Inputs!$B$19)</f>
        <v/>
      </c>
      <c r="M17" s="25">
        <f>(M$14*$A17*(1-Inputs!$B$17)*(1-Inputs!$B$19/Inputs!$B$20))/((Inputs!$B$18)-Inputs!$B$19)</f>
        <v/>
      </c>
      <c r="N17" s="25">
        <f>(N$14*$A17*(1-Inputs!$B$17)*(1-Inputs!$B$19/Inputs!$B$20))/((Inputs!$B$18)-Inputs!$B$19)</f>
        <v/>
      </c>
      <c r="O17" s="25">
        <f>(O$14*$A17*(1-Inputs!$B$17)*(1-Inputs!$B$19/Inputs!$B$20))/((Inputs!$B$18)-Inputs!$B$19)</f>
        <v/>
      </c>
      <c r="P17" s="25">
        <f>(P$14*$A17*(1-Inputs!$B$17)*(1-Inputs!$B$19/Inputs!$B$20))/((Inputs!$B$18)-Inputs!$B$19)</f>
        <v/>
      </c>
      <c r="Q17" s="25">
        <f>(Q$14*$A17*(1-Inputs!$B$17)*(1-Inputs!$B$19/Inputs!$B$20))/((Inputs!$B$18)-Inputs!$B$19)</f>
        <v/>
      </c>
      <c r="R17" s="25">
        <f>(R$14*$A17*(1-Inputs!$B$17)*(1-Inputs!$B$19/Inputs!$B$20))/((Inputs!$B$18)-Inputs!$B$19)</f>
        <v/>
      </c>
      <c r="S17" s="25">
        <f>(S$14*$A17*(1-Inputs!$B$17)*(1-Inputs!$B$19/Inputs!$B$20))/((Inputs!$B$18)-Inputs!$B$19)</f>
        <v/>
      </c>
      <c r="T17" s="25">
        <f>(T$14*$A17*(1-Inputs!$B$17)*(1-Inputs!$B$19/Inputs!$B$20))/((Inputs!$B$18)-Inputs!$B$19)</f>
        <v/>
      </c>
      <c r="U17" s="25">
        <f>(U$14*$A17*(1-Inputs!$B$17)*(1-Inputs!$B$19/Inputs!$B$20))/((Inputs!$B$18)-Inputs!$B$19)</f>
        <v/>
      </c>
      <c r="V17" s="25">
        <f>(V$14*$A17*(1-Inputs!$B$17)*(1-Inputs!$B$19/Inputs!$B$20))/((Inputs!$B$18)-Inputs!$B$19)</f>
        <v/>
      </c>
    </row>
    <row r="18">
      <c r="A18" s="24" t="n">
        <v>0.3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  <c r="K18" s="25">
        <f>(K$14*$A18*(1-Inputs!$B$17)*(1-Inputs!$B$19/Inputs!$B$20))/((Inputs!$B$18)-Inputs!$B$19)</f>
        <v/>
      </c>
      <c r="L18" s="25">
        <f>(L$14*$A18*(1-Inputs!$B$17)*(1-Inputs!$B$19/Inputs!$B$20))/((Inputs!$B$18)-Inputs!$B$19)</f>
        <v/>
      </c>
      <c r="M18" s="25">
        <f>(M$14*$A18*(1-Inputs!$B$17)*(1-Inputs!$B$19/Inputs!$B$20))/((Inputs!$B$18)-Inputs!$B$19)</f>
        <v/>
      </c>
      <c r="N18" s="25">
        <f>(N$14*$A18*(1-Inputs!$B$17)*(1-Inputs!$B$19/Inputs!$B$20))/((Inputs!$B$18)-Inputs!$B$19)</f>
        <v/>
      </c>
      <c r="O18" s="25">
        <f>(O$14*$A18*(1-Inputs!$B$17)*(1-Inputs!$B$19/Inputs!$B$20))/((Inputs!$B$18)-Inputs!$B$19)</f>
        <v/>
      </c>
      <c r="P18" s="25">
        <f>(P$14*$A18*(1-Inputs!$B$17)*(1-Inputs!$B$19/Inputs!$B$20))/((Inputs!$B$18)-Inputs!$B$19)</f>
        <v/>
      </c>
      <c r="Q18" s="25">
        <f>(Q$14*$A18*(1-Inputs!$B$17)*(1-Inputs!$B$19/Inputs!$B$20))/((Inputs!$B$18)-Inputs!$B$19)</f>
        <v/>
      </c>
      <c r="R18" s="25">
        <f>(R$14*$A18*(1-Inputs!$B$17)*(1-Inputs!$B$19/Inputs!$B$20))/((Inputs!$B$18)-Inputs!$B$19)</f>
        <v/>
      </c>
      <c r="S18" s="25">
        <f>(S$14*$A18*(1-Inputs!$B$17)*(1-Inputs!$B$19/Inputs!$B$20))/((Inputs!$B$18)-Inputs!$B$19)</f>
        <v/>
      </c>
      <c r="T18" s="25">
        <f>(T$14*$A18*(1-Inputs!$B$17)*(1-Inputs!$B$19/Inputs!$B$20))/((Inputs!$B$18)-Inputs!$B$19)</f>
        <v/>
      </c>
      <c r="U18" s="25">
        <f>(U$14*$A18*(1-Inputs!$B$17)*(1-Inputs!$B$19/Inputs!$B$20))/((Inputs!$B$18)-Inputs!$B$19)</f>
        <v/>
      </c>
      <c r="V18" s="25">
        <f>(V$14*$A18*(1-Inputs!$B$17)*(1-Inputs!$B$19/Inputs!$B$20))/((Inputs!$B$18)-Inputs!$B$19)</f>
        <v/>
      </c>
    </row>
    <row r="19">
      <c r="A19" s="24" t="n">
        <v>0.35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  <c r="I19" s="25">
        <f>(I$14*$A19*(1-Inputs!$B$17)*(1-Inputs!$B$19/Inputs!$B$20))/((Inputs!$B$18)-Inputs!$B$19)</f>
        <v/>
      </c>
      <c r="J19" s="25">
        <f>(J$14*$A19*(1-Inputs!$B$17)*(1-Inputs!$B$19/Inputs!$B$20))/((Inputs!$B$18)-Inputs!$B$19)</f>
        <v/>
      </c>
      <c r="K19" s="25">
        <f>(K$14*$A19*(1-Inputs!$B$17)*(1-Inputs!$B$19/Inputs!$B$20))/((Inputs!$B$18)-Inputs!$B$19)</f>
        <v/>
      </c>
      <c r="L19" s="25">
        <f>(L$14*$A19*(1-Inputs!$B$17)*(1-Inputs!$B$19/Inputs!$B$20))/((Inputs!$B$18)-Inputs!$B$19)</f>
        <v/>
      </c>
      <c r="M19" s="25">
        <f>(M$14*$A19*(1-Inputs!$B$17)*(1-Inputs!$B$19/Inputs!$B$20))/((Inputs!$B$18)-Inputs!$B$19)</f>
        <v/>
      </c>
      <c r="N19" s="25">
        <f>(N$14*$A19*(1-Inputs!$B$17)*(1-Inputs!$B$19/Inputs!$B$20))/((Inputs!$B$18)-Inputs!$B$19)</f>
        <v/>
      </c>
      <c r="O19" s="25">
        <f>(O$14*$A19*(1-Inputs!$B$17)*(1-Inputs!$B$19/Inputs!$B$20))/((Inputs!$B$18)-Inputs!$B$19)</f>
        <v/>
      </c>
      <c r="P19" s="25">
        <f>(P$14*$A19*(1-Inputs!$B$17)*(1-Inputs!$B$19/Inputs!$B$20))/((Inputs!$B$18)-Inputs!$B$19)</f>
        <v/>
      </c>
      <c r="Q19" s="25">
        <f>(Q$14*$A19*(1-Inputs!$B$17)*(1-Inputs!$B$19/Inputs!$B$20))/((Inputs!$B$18)-Inputs!$B$19)</f>
        <v/>
      </c>
      <c r="R19" s="25">
        <f>(R$14*$A19*(1-Inputs!$B$17)*(1-Inputs!$B$19/Inputs!$B$20))/((Inputs!$B$18)-Inputs!$B$19)</f>
        <v/>
      </c>
      <c r="S19" s="25">
        <f>(S$14*$A19*(1-Inputs!$B$17)*(1-Inputs!$B$19/Inputs!$B$20))/((Inputs!$B$18)-Inputs!$B$19)</f>
        <v/>
      </c>
      <c r="T19" s="25">
        <f>(T$14*$A19*(1-Inputs!$B$17)*(1-Inputs!$B$19/Inputs!$B$20))/((Inputs!$B$18)-Inputs!$B$19)</f>
        <v/>
      </c>
      <c r="U19" s="25">
        <f>(U$14*$A19*(1-Inputs!$B$17)*(1-Inputs!$B$19/Inputs!$B$20))/((Inputs!$B$18)-Inputs!$B$19)</f>
        <v/>
      </c>
      <c r="V19" s="25">
        <f>(V$14*$A19*(1-Inputs!$B$17)*(1-Inputs!$B$19/Inputs!$B$20))/((Inputs!$B$18)-Inputs!$B$19)</f>
        <v/>
      </c>
    </row>
    <row r="20">
      <c r="A20" s="24" t="n">
        <v>0.4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  <c r="H20" s="25">
        <f>(H$14*$A20*(1-Inputs!$B$17)*(1-Inputs!$B$19/Inputs!$B$20))/((Inputs!$B$18)-Inputs!$B$19)</f>
        <v/>
      </c>
      <c r="I20" s="25">
        <f>(I$14*$A20*(1-Inputs!$B$17)*(1-Inputs!$B$19/Inputs!$B$20))/((Inputs!$B$18)-Inputs!$B$19)</f>
        <v/>
      </c>
      <c r="J20" s="25">
        <f>(J$14*$A20*(1-Inputs!$B$17)*(1-Inputs!$B$19/Inputs!$B$20))/((Inputs!$B$18)-Inputs!$B$19)</f>
        <v/>
      </c>
      <c r="K20" s="25">
        <f>(K$14*$A20*(1-Inputs!$B$17)*(1-Inputs!$B$19/Inputs!$B$20))/((Inputs!$B$18)-Inputs!$B$19)</f>
        <v/>
      </c>
      <c r="L20" s="25">
        <f>(L$14*$A20*(1-Inputs!$B$17)*(1-Inputs!$B$19/Inputs!$B$20))/((Inputs!$B$18)-Inputs!$B$19)</f>
        <v/>
      </c>
      <c r="M20" s="25">
        <f>(M$14*$A20*(1-Inputs!$B$17)*(1-Inputs!$B$19/Inputs!$B$20))/((Inputs!$B$18)-Inputs!$B$19)</f>
        <v/>
      </c>
      <c r="N20" s="25">
        <f>(N$14*$A20*(1-Inputs!$B$17)*(1-Inputs!$B$19/Inputs!$B$20))/((Inputs!$B$18)-Inputs!$B$19)</f>
        <v/>
      </c>
      <c r="O20" s="25">
        <f>(O$14*$A20*(1-Inputs!$B$17)*(1-Inputs!$B$19/Inputs!$B$20))/((Inputs!$B$18)-Inputs!$B$19)</f>
        <v/>
      </c>
      <c r="P20" s="25">
        <f>(P$14*$A20*(1-Inputs!$B$17)*(1-Inputs!$B$19/Inputs!$B$20))/((Inputs!$B$18)-Inputs!$B$19)</f>
        <v/>
      </c>
      <c r="Q20" s="25">
        <f>(Q$14*$A20*(1-Inputs!$B$17)*(1-Inputs!$B$19/Inputs!$B$20))/((Inputs!$B$18)-Inputs!$B$19)</f>
        <v/>
      </c>
      <c r="R20" s="25">
        <f>(R$14*$A20*(1-Inputs!$B$17)*(1-Inputs!$B$19/Inputs!$B$20))/((Inputs!$B$18)-Inputs!$B$19)</f>
        <v/>
      </c>
      <c r="S20" s="25">
        <f>(S$14*$A20*(1-Inputs!$B$17)*(1-Inputs!$B$19/Inputs!$B$20))/((Inputs!$B$18)-Inputs!$B$19)</f>
        <v/>
      </c>
      <c r="T20" s="25">
        <f>(T$14*$A20*(1-Inputs!$B$17)*(1-Inputs!$B$19/Inputs!$B$20))/((Inputs!$B$18)-Inputs!$B$19)</f>
        <v/>
      </c>
      <c r="U20" s="25">
        <f>(U$14*$A20*(1-Inputs!$B$17)*(1-Inputs!$B$19/Inputs!$B$20))/((Inputs!$B$18)-Inputs!$B$19)</f>
        <v/>
      </c>
      <c r="V20" s="25">
        <f>(V$14*$A20*(1-Inputs!$B$17)*(1-Inputs!$B$19/Inputs!$B$20))/((Inputs!$B$18)-Inputs!$B$19)</f>
        <v/>
      </c>
    </row>
    <row r="21">
      <c r="A21" s="24" t="n">
        <v>0.45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  <c r="H21" s="25">
        <f>(H$14*$A21*(1-Inputs!$B$17)*(1-Inputs!$B$19/Inputs!$B$20))/((Inputs!$B$18)-Inputs!$B$19)</f>
        <v/>
      </c>
      <c r="I21" s="25">
        <f>(I$14*$A21*(1-Inputs!$B$17)*(1-Inputs!$B$19/Inputs!$B$20))/((Inputs!$B$18)-Inputs!$B$19)</f>
        <v/>
      </c>
      <c r="J21" s="25">
        <f>(J$14*$A21*(1-Inputs!$B$17)*(1-Inputs!$B$19/Inputs!$B$20))/((Inputs!$B$18)-Inputs!$B$19)</f>
        <v/>
      </c>
      <c r="K21" s="25">
        <f>(K$14*$A21*(1-Inputs!$B$17)*(1-Inputs!$B$19/Inputs!$B$20))/((Inputs!$B$18)-Inputs!$B$19)</f>
        <v/>
      </c>
      <c r="L21" s="25">
        <f>(L$14*$A21*(1-Inputs!$B$17)*(1-Inputs!$B$19/Inputs!$B$20))/((Inputs!$B$18)-Inputs!$B$19)</f>
        <v/>
      </c>
      <c r="M21" s="25">
        <f>(M$14*$A21*(1-Inputs!$B$17)*(1-Inputs!$B$19/Inputs!$B$20))/((Inputs!$B$18)-Inputs!$B$19)</f>
        <v/>
      </c>
      <c r="N21" s="25">
        <f>(N$14*$A21*(1-Inputs!$B$17)*(1-Inputs!$B$19/Inputs!$B$20))/((Inputs!$B$18)-Inputs!$B$19)</f>
        <v/>
      </c>
      <c r="O21" s="25">
        <f>(O$14*$A21*(1-Inputs!$B$17)*(1-Inputs!$B$19/Inputs!$B$20))/((Inputs!$B$18)-Inputs!$B$19)</f>
        <v/>
      </c>
      <c r="P21" s="25">
        <f>(P$14*$A21*(1-Inputs!$B$17)*(1-Inputs!$B$19/Inputs!$B$20))/((Inputs!$B$18)-Inputs!$B$19)</f>
        <v/>
      </c>
      <c r="Q21" s="25">
        <f>(Q$14*$A21*(1-Inputs!$B$17)*(1-Inputs!$B$19/Inputs!$B$20))/((Inputs!$B$18)-Inputs!$B$19)</f>
        <v/>
      </c>
      <c r="R21" s="25">
        <f>(R$14*$A21*(1-Inputs!$B$17)*(1-Inputs!$B$19/Inputs!$B$20))/((Inputs!$B$18)-Inputs!$B$19)</f>
        <v/>
      </c>
      <c r="S21" s="25">
        <f>(S$14*$A21*(1-Inputs!$B$17)*(1-Inputs!$B$19/Inputs!$B$20))/((Inputs!$B$18)-Inputs!$B$19)</f>
        <v/>
      </c>
      <c r="T21" s="25">
        <f>(T$14*$A21*(1-Inputs!$B$17)*(1-Inputs!$B$19/Inputs!$B$20))/((Inputs!$B$18)-Inputs!$B$19)</f>
        <v/>
      </c>
      <c r="U21" s="25">
        <f>(U$14*$A21*(1-Inputs!$B$17)*(1-Inputs!$B$19/Inputs!$B$20))/((Inputs!$B$18)-Inputs!$B$19)</f>
        <v/>
      </c>
      <c r="V21" s="25">
        <f>(V$14*$A21*(1-Inputs!$B$17)*(1-Inputs!$B$19/Inputs!$B$20))/((Inputs!$B$18)-Inputs!$B$19)</f>
        <v/>
      </c>
    </row>
    <row r="22">
      <c r="A22" s="6" t="inlineStr">
        <is>
          <t>Grid cells are terminal EV in $ billions. Compare against implied EV above.</t>
        </is>
      </c>
    </row>
    <row r="23">
      <c r="A23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0.1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0.11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0.12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0.13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0.14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6</v>
      </c>
      <c r="C13" s="10" t="n">
        <v>8</v>
      </c>
      <c r="D13" s="10" t="n">
        <v>10</v>
      </c>
      <c r="E13" s="10" t="n">
        <v>12</v>
      </c>
      <c r="F13" s="10" t="n">
        <v>14</v>
      </c>
      <c r="G13" s="10" t="n">
        <v>16</v>
      </c>
    </row>
    <row r="14">
      <c r="A14" s="24" t="n">
        <v>0.1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</row>
    <row r="15">
      <c r="A15" s="24" t="n">
        <v>0.15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</row>
    <row r="16">
      <c r="A16" s="24" t="n">
        <v>0.2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</row>
    <row r="17">
      <c r="A17" s="24" t="n">
        <v>0.25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</row>
    <row r="18">
      <c r="A18" s="24" t="n">
        <v>0.3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2026-08-17T02:15:22Z</dcterms:created>
  <dcterms:modified xsi:type="dcterms:W3CDTF">2026-08-17T02:15:22Z</dcterms:modified>
</cp:coreProperties>
</file>