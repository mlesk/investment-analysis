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Berkshire Hathaway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504.03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2140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365510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117700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384690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0.04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0.003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0.156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0.16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0.08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0.025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0.15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0.005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0.02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-3%; Margin -3% pts; WACC +0.8%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+2%; Margin +2% pts; WACC -0.4%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0.05</v>
      </c>
      <c r="C5" s="9" t="n">
        <v>-0.07000000000000001</v>
      </c>
      <c r="D5" s="9" t="n">
        <v>-0.05</v>
      </c>
      <c r="E5" s="9" t="n">
        <v>0.015</v>
      </c>
      <c r="F5" s="9" t="n">
        <v>-0.005</v>
      </c>
      <c r="G5" s="9" t="n">
        <v>-0.05</v>
      </c>
      <c r="H5" s="6" t="inlineStr">
        <is>
          <t>Equity-market crash + P&amp;C underwriting loss cycle + recession; IV $278</t>
        </is>
      </c>
    </row>
    <row r="6">
      <c r="A6" s="11" t="inlineStr">
        <is>
          <t>Bear</t>
        </is>
      </c>
      <c r="B6" s="9" t="n">
        <v>0.15</v>
      </c>
      <c r="C6" s="9" t="n">
        <v>-0.03</v>
      </c>
      <c r="D6" s="9" t="n">
        <v>-0.03</v>
      </c>
      <c r="E6" s="9" t="n">
        <v>0.008</v>
      </c>
      <c r="F6" s="9" t="n">
        <v>-0.003</v>
      </c>
      <c r="G6" s="9" t="n">
        <v>-0.04</v>
      </c>
      <c r="H6" s="6" t="inlineStr">
        <is>
          <t>Muted markets, soft insurance pricing, mild recession; IV $322</t>
        </is>
      </c>
    </row>
    <row r="7">
      <c r="A7" s="11" t="inlineStr">
        <is>
          <t>Base</t>
        </is>
      </c>
      <c r="B7" s="9" t="n">
        <v>0.5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Normalized operating earnings, ~15.6% margins, 8% WACC; IV $428</t>
        </is>
      </c>
    </row>
    <row r="8">
      <c r="A8" s="11" t="inlineStr">
        <is>
          <t>Bull</t>
        </is>
      </c>
      <c r="B8" s="9" t="n">
        <v>0.2</v>
      </c>
      <c r="C8" s="9" t="n">
        <v>0.02</v>
      </c>
      <c r="D8" s="9" t="n">
        <v>0.02</v>
      </c>
      <c r="E8" s="9" t="n">
        <v>-0.004</v>
      </c>
      <c r="F8" s="9" t="n">
        <v>0.004</v>
      </c>
      <c r="G8" s="9" t="n">
        <v>0.03</v>
      </c>
      <c r="H8" s="6" t="inlineStr">
        <is>
          <t>Strong equity markets, firm pricing, productive capital deployment; IV $530</t>
        </is>
      </c>
    </row>
    <row r="9">
      <c r="A9" s="11" t="inlineStr">
        <is>
          <t>Extreme Bull</t>
        </is>
      </c>
      <c r="B9" s="9" t="n">
        <v>0.1</v>
      </c>
      <c r="C9" s="9" t="n">
        <v>0.04</v>
      </c>
      <c r="D9" s="9" t="n">
        <v>0.045</v>
      </c>
      <c r="E9" s="9" t="n">
        <v>-0.008</v>
      </c>
      <c r="F9" s="9" t="n">
        <v>0.007</v>
      </c>
      <c r="G9" s="9" t="n">
        <v>0.06</v>
      </c>
      <c r="H9" s="6" t="inlineStr">
        <is>
          <t>Exceptional equity compounding + successful large-scale deployment; IV $683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2</v>
      </c>
      <c r="C14" s="10" t="n">
        <v>3</v>
      </c>
      <c r="D14" s="10" t="n">
        <v>4</v>
      </c>
      <c r="E14" s="10" t="n">
        <v>5</v>
      </c>
      <c r="F14" s="10" t="n">
        <v>6</v>
      </c>
      <c r="G14" s="10" t="n">
        <v>7</v>
      </c>
      <c r="H14" s="10" t="n">
        <v>8</v>
      </c>
    </row>
    <row r="15">
      <c r="A15" s="24" t="n">
        <v>0.1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</row>
    <row r="16">
      <c r="A16" s="24" t="n">
        <v>0.12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</row>
    <row r="17">
      <c r="A17" s="24" t="n">
        <v>0.14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</row>
    <row r="18">
      <c r="A18" s="24" t="n">
        <v>0.16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</row>
    <row r="19">
      <c r="A19" s="24" t="n">
        <v>0.18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</row>
    <row r="20">
      <c r="A20" s="24" t="n">
        <v>0.2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  <c r="H20" s="25">
        <f>(H$14*$A20*(1-Inputs!$B$17)*(1-Inputs!$B$19/Inputs!$B$20))/((Inputs!$B$18)-Inputs!$B$19)</f>
        <v/>
      </c>
    </row>
    <row r="21">
      <c r="A21" s="24" t="n">
        <v>0.22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  <c r="H21" s="25">
        <f>(H$14*$A21*(1-Inputs!$B$17)*(1-Inputs!$B$19/Inputs!$B$20))/((Inputs!$B$18)-Inputs!$B$19)</f>
        <v/>
      </c>
    </row>
    <row r="22">
      <c r="A22" s="24" t="n">
        <v>0.24</v>
      </c>
      <c r="B22" s="25">
        <f>(B$14*$A22*(1-Inputs!$B$17)*(1-Inputs!$B$19/Inputs!$B$20))/((Inputs!$B$18)-Inputs!$B$19)</f>
        <v/>
      </c>
      <c r="C22" s="25">
        <f>(C$14*$A22*(1-Inputs!$B$17)*(1-Inputs!$B$19/Inputs!$B$20))/((Inputs!$B$18)-Inputs!$B$19)</f>
        <v/>
      </c>
      <c r="D22" s="25">
        <f>(D$14*$A22*(1-Inputs!$B$17)*(1-Inputs!$B$19/Inputs!$B$20))/((Inputs!$B$18)-Inputs!$B$19)</f>
        <v/>
      </c>
      <c r="E22" s="25">
        <f>(E$14*$A22*(1-Inputs!$B$17)*(1-Inputs!$B$19/Inputs!$B$20))/((Inputs!$B$18)-Inputs!$B$19)</f>
        <v/>
      </c>
      <c r="F22" s="25">
        <f>(F$14*$A22*(1-Inputs!$B$17)*(1-Inputs!$B$19/Inputs!$B$20))/((Inputs!$B$18)-Inputs!$B$19)</f>
        <v/>
      </c>
      <c r="G22" s="25">
        <f>(G$14*$A22*(1-Inputs!$B$17)*(1-Inputs!$B$19/Inputs!$B$20))/((Inputs!$B$18)-Inputs!$B$19)</f>
        <v/>
      </c>
      <c r="H22" s="25">
        <f>(H$14*$A22*(1-Inputs!$B$17)*(1-Inputs!$B$19/Inputs!$B$20))/((Inputs!$B$18)-Inputs!$B$19)</f>
        <v/>
      </c>
    </row>
    <row r="23">
      <c r="A23" s="24" t="n">
        <v>0.26</v>
      </c>
      <c r="B23" s="25">
        <f>(B$14*$A23*(1-Inputs!$B$17)*(1-Inputs!$B$19/Inputs!$B$20))/((Inputs!$B$18)-Inputs!$B$19)</f>
        <v/>
      </c>
      <c r="C23" s="25">
        <f>(C$14*$A23*(1-Inputs!$B$17)*(1-Inputs!$B$19/Inputs!$B$20))/((Inputs!$B$18)-Inputs!$B$19)</f>
        <v/>
      </c>
      <c r="D23" s="25">
        <f>(D$14*$A23*(1-Inputs!$B$17)*(1-Inputs!$B$19/Inputs!$B$20))/((Inputs!$B$18)-Inputs!$B$19)</f>
        <v/>
      </c>
      <c r="E23" s="25">
        <f>(E$14*$A23*(1-Inputs!$B$17)*(1-Inputs!$B$19/Inputs!$B$20))/((Inputs!$B$18)-Inputs!$B$19)</f>
        <v/>
      </c>
      <c r="F23" s="25">
        <f>(F$14*$A23*(1-Inputs!$B$17)*(1-Inputs!$B$19/Inputs!$B$20))/((Inputs!$B$18)-Inputs!$B$19)</f>
        <v/>
      </c>
      <c r="G23" s="25">
        <f>(G$14*$A23*(1-Inputs!$B$17)*(1-Inputs!$B$19/Inputs!$B$20))/((Inputs!$B$18)-Inputs!$B$19)</f>
        <v/>
      </c>
      <c r="H23" s="25">
        <f>(H$14*$A23*(1-Inputs!$B$17)*(1-Inputs!$B$19/Inputs!$B$20))/((Inputs!$B$18)-Inputs!$B$19)</f>
        <v/>
      </c>
    </row>
    <row r="24">
      <c r="A24" s="24" t="n">
        <v>0.28</v>
      </c>
      <c r="B24" s="25">
        <f>(B$14*$A24*(1-Inputs!$B$17)*(1-Inputs!$B$19/Inputs!$B$20))/((Inputs!$B$18)-Inputs!$B$19)</f>
        <v/>
      </c>
      <c r="C24" s="25">
        <f>(C$14*$A24*(1-Inputs!$B$17)*(1-Inputs!$B$19/Inputs!$B$20))/((Inputs!$B$18)-Inputs!$B$19)</f>
        <v/>
      </c>
      <c r="D24" s="25">
        <f>(D$14*$A24*(1-Inputs!$B$17)*(1-Inputs!$B$19/Inputs!$B$20))/((Inputs!$B$18)-Inputs!$B$19)</f>
        <v/>
      </c>
      <c r="E24" s="25">
        <f>(E$14*$A24*(1-Inputs!$B$17)*(1-Inputs!$B$19/Inputs!$B$20))/((Inputs!$B$18)-Inputs!$B$19)</f>
        <v/>
      </c>
      <c r="F24" s="25">
        <f>(F$14*$A24*(1-Inputs!$B$17)*(1-Inputs!$B$19/Inputs!$B$20))/((Inputs!$B$18)-Inputs!$B$19)</f>
        <v/>
      </c>
      <c r="G24" s="25">
        <f>(G$14*$A24*(1-Inputs!$B$17)*(1-Inputs!$B$19/Inputs!$B$20))/((Inputs!$B$18)-Inputs!$B$19)</f>
        <v/>
      </c>
      <c r="H24" s="25">
        <f>(H$14*$A24*(1-Inputs!$B$17)*(1-Inputs!$B$19/Inputs!$B$20))/((Inputs!$B$18)-Inputs!$B$19)</f>
        <v/>
      </c>
    </row>
    <row r="25">
      <c r="A25" s="24" t="n">
        <v>0.3</v>
      </c>
      <c r="B25" s="25">
        <f>(B$14*$A25*(1-Inputs!$B$17)*(1-Inputs!$B$19/Inputs!$B$20))/((Inputs!$B$18)-Inputs!$B$19)</f>
        <v/>
      </c>
      <c r="C25" s="25">
        <f>(C$14*$A25*(1-Inputs!$B$17)*(1-Inputs!$B$19/Inputs!$B$20))/((Inputs!$B$18)-Inputs!$B$19)</f>
        <v/>
      </c>
      <c r="D25" s="25">
        <f>(D$14*$A25*(1-Inputs!$B$17)*(1-Inputs!$B$19/Inputs!$B$20))/((Inputs!$B$18)-Inputs!$B$19)</f>
        <v/>
      </c>
      <c r="E25" s="25">
        <f>(E$14*$A25*(1-Inputs!$B$17)*(1-Inputs!$B$19/Inputs!$B$20))/((Inputs!$B$18)-Inputs!$B$19)</f>
        <v/>
      </c>
      <c r="F25" s="25">
        <f>(F$14*$A25*(1-Inputs!$B$17)*(1-Inputs!$B$19/Inputs!$B$20))/((Inputs!$B$18)-Inputs!$B$19)</f>
        <v/>
      </c>
      <c r="G25" s="25">
        <f>(G$14*$A25*(1-Inputs!$B$17)*(1-Inputs!$B$19/Inputs!$B$20))/((Inputs!$B$18)-Inputs!$B$19)</f>
        <v/>
      </c>
      <c r="H25" s="25">
        <f>(H$14*$A25*(1-Inputs!$B$17)*(1-Inputs!$B$19/Inputs!$B$20))/((Inputs!$B$18)-Inputs!$B$19)</f>
        <v/>
      </c>
    </row>
    <row r="26">
      <c r="A26" s="6" t="inlineStr">
        <is>
          <t>Grid cells are terminal EV in $ billions. Compare against implied EV above.</t>
        </is>
      </c>
    </row>
    <row r="27">
      <c r="A27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</v>
      </c>
      <c r="C4" s="26" t="n">
        <v>0.01</v>
      </c>
      <c r="D4" s="26" t="n">
        <v>0.02</v>
      </c>
      <c r="E4" s="26" t="n">
        <v>0.025</v>
      </c>
      <c r="F4" s="26" t="n">
        <v>0.03</v>
      </c>
    </row>
    <row r="5">
      <c r="A5" s="24" t="n">
        <v>0.07000000000000001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0.08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0.09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0.11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10" t="n">
        <v>6</v>
      </c>
    </row>
    <row r="14">
      <c r="A14" s="24" t="n">
        <v>0.12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</row>
    <row r="15">
      <c r="A15" s="24" t="n">
        <v>0.14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</row>
    <row r="16">
      <c r="A16" s="24" t="n">
        <v>0.16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</row>
    <row r="17">
      <c r="A17" s="24" t="n">
        <v>0.18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</row>
    <row r="18">
      <c r="A18" s="24" t="n">
        <v>0.2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2026-08-17T00:33:55Z</dcterms:created>
  <dcterms:modified xsi:type="dcterms:W3CDTF">2026-08-17T00:33:55Z</dcterms:modified>
</cp:coreProperties>
</file>