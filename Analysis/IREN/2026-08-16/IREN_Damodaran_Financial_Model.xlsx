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README" sheetId="1" state="visible" r:id="rId1"/>
    <sheet name="Inputs" sheetId="2" state="visible" r:id="rId2"/>
    <sheet name="Scenarios" sheetId="3" state="visible" r:id="rId3"/>
    <sheet name="DCF-SevereBear" sheetId="4" state="visible" r:id="rId4"/>
    <sheet name="DCF-Bear" sheetId="5" state="visible" r:id="rId5"/>
    <sheet name="DCF-Base" sheetId="6" state="visible" r:id="rId6"/>
    <sheet name="DCF-Bull" sheetId="7" state="visible" r:id="rId7"/>
    <sheet name="DCF-ExtremeBull" sheetId="8" state="visible" r:id="rId8"/>
    <sheet name="Scenario Summary" sheetId="9" state="visible" r:id="rId9"/>
    <sheet name="Reverse DCF" sheetId="10" state="visible" r:id="rId10"/>
    <sheet name="Sensitivity" sheetId="11" state="visible" r:id="rId11"/>
    <sheet name="Checks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$0.00"/>
    <numFmt numFmtId="167" formatCode="0.0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color rgb="009C6500"/>
    </font>
    <font>
      <i val="1"/>
      <color rgb="00666666"/>
    </font>
    <font>
      <name val="Calibri"/>
    </font>
    <font>
      <name val="Calibri"/>
      <color rgb="00008000"/>
    </font>
    <font>
      <name val="Calibri"/>
      <color rgb="00666666"/>
    </font>
    <font>
      <name val="Calibri"/>
      <b val="1"/>
      <color rgb="FFFFFFFF"/>
    </font>
    <font>
      <name val="Calibri"/>
      <b val="1"/>
    </font>
    <font>
      <name val="Calibri"/>
      <color rgb="009C65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7B7B7"/>
      </bottom>
    </border>
    <border>
      <left/>
      <right/>
      <top/>
      <bottom style="thin">
        <color rgb="00B7B7B7"/>
      </bottom>
      <diagonal/>
    </border>
    <border>
      <right/>
      <bottom style="thin">
        <color rgb="00B7B7B7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164" fontId="4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165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5" fontId="0" fillId="4" borderId="1" applyAlignment="1" pivotButton="0" quotePrefix="0" xfId="0">
      <alignment vertical="top"/>
    </xf>
    <xf numFmtId="166" fontId="0" fillId="4" borderId="1" applyAlignment="1" pivotButton="0" quotePrefix="0" xfId="0">
      <alignment vertical="top"/>
    </xf>
    <xf numFmtId="0" fontId="5" fillId="0" borderId="0" pivotButton="0" quotePrefix="0" xfId="0"/>
    <xf numFmtId="164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0" fontId="0" fillId="0" borderId="2" pivotButton="0" quotePrefix="0" xfId="0"/>
    <xf numFmtId="0" fontId="6" fillId="0" borderId="0" pivotButton="0" quotePrefix="0" xfId="0"/>
    <xf numFmtId="164" fontId="4" fillId="3" borderId="1" applyAlignment="1" pivotButton="0" quotePrefix="0" xfId="0">
      <alignment vertical="top"/>
    </xf>
    <xf numFmtId="165" fontId="4" fillId="3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7" fillId="0" borderId="0" pivotButton="0" quotePrefix="0" xfId="0"/>
    <xf numFmtId="0" fontId="8" fillId="0" borderId="0" applyAlignment="1" pivotButton="0" quotePrefix="0" xfId="0">
      <alignment wrapText="1"/>
    </xf>
    <xf numFmtId="165" fontId="0" fillId="4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6" fontId="0" fillId="4" borderId="1" applyAlignment="1" pivotButton="0" quotePrefix="0" xfId="0">
      <alignment vertical="top"/>
    </xf>
    <xf numFmtId="0" fontId="1" fillId="2" borderId="3" applyAlignment="1" pivotButton="0" quotePrefix="0" xfId="0">
      <alignment vertical="center"/>
    </xf>
    <xf numFmtId="0" fontId="3" fillId="2" borderId="3" applyAlignment="1" pivotButton="0" quotePrefix="0" xfId="0">
      <alignment vertical="top"/>
    </xf>
    <xf numFmtId="0" fontId="9" fillId="2" borderId="0" pivotButton="0" quotePrefix="0" xfId="0"/>
    <xf numFmtId="0" fontId="10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165" fontId="10" fillId="0" borderId="0" pivotButton="0" quotePrefix="0" xfId="0"/>
    <xf numFmtId="166" fontId="10" fillId="4" borderId="0" pivotButton="0" quotePrefix="0" xfId="0"/>
    <xf numFmtId="166" fontId="0" fillId="4" borderId="0" pivotButton="0" quotePrefix="0" xfId="0"/>
    <xf numFmtId="165" fontId="0" fillId="4" borderId="0" pivotButton="0" quotePrefix="0" xfId="0"/>
    <xf numFmtId="1" fontId="11" fillId="3" borderId="0" pivotButton="0" quotePrefix="0" xfId="0"/>
    <xf numFmtId="164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0" fontId="9" fillId="2" borderId="1" applyAlignment="1" pivotButton="0" quotePrefix="0" xfId="0">
      <alignment vertical="top"/>
    </xf>
    <xf numFmtId="0" fontId="10" fillId="5" borderId="1" applyAlignment="1" pivotButton="0" quotePrefix="0" xfId="0">
      <alignment vertical="top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Copilot</author>
  </authors>
  <commentList>
    <comment ref="D10" authorId="0" shapeId="0">
      <text>
        <t>Sum of Probability × Standalone Intrinsic Value/Share across the five scenario DCF sheets.</t>
      </text>
    </comment>
    <comment ref="B17" authorId="0" shapeId="0">
      <text>
        <t>Expected annualized return = (weighted value / price)^(1/horizon) − 1.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IREN — Damodaran-Style Scenario DCF Model</t>
        </is>
      </c>
      <c r="B1" s="18" t="n"/>
      <c r="C1" s="18" t="n"/>
      <c r="D1" s="18" t="n"/>
      <c r="E1" s="18" t="n"/>
      <c r="F1" s="18" t="n"/>
      <c r="G1" s="18" t="n"/>
      <c r="H1" s="18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Purpose</t>
        </is>
      </c>
      <c r="B3" s="3" t="inlineStr">
        <is>
          <t>Scenario-driven FCFF model linking growth, margins, reinvestment, ROIC, WACC and terminal value.</t>
        </is>
      </c>
      <c r="C3" s="3" t="n"/>
      <c r="D3" s="3" t="n"/>
      <c r="E3" s="3" t="n"/>
      <c r="F3" s="3" t="n"/>
      <c r="G3" s="3" t="n"/>
      <c r="H3" s="3" t="n"/>
    </row>
    <row r="4">
      <c r="A4" s="4" t="inlineStr">
        <is>
          <t>Core philosophy</t>
        </is>
      </c>
      <c r="B4" s="3" t="inlineStr">
        <is>
          <t>Value = present value of expected cash flows. Price is an input for reverse DCF, not a valuation anchor.</t>
        </is>
      </c>
      <c r="C4" s="3" t="n"/>
      <c r="D4" s="3" t="n"/>
      <c r="E4" s="3" t="n"/>
      <c r="F4" s="3" t="n"/>
      <c r="G4" s="3" t="n"/>
      <c r="H4" s="3" t="n"/>
    </row>
    <row r="5">
      <c r="A5" s="4" t="inlineStr">
        <is>
          <t>How to use</t>
        </is>
      </c>
      <c r="B5" s="3" t="inlineStr">
        <is>
          <t>Change yellow cells on Inputs and Scenarios sheets. Each scenario has its own DCF sheet (DCF-SevereBear through DCF-ExtremeBull); the Scenario Summary sheet probability-weights their results. Green cells are formulas/links. Blue cells are labels/structure.</t>
        </is>
      </c>
      <c r="C5" s="3" t="n"/>
      <c r="D5" s="3" t="n"/>
      <c r="E5" s="3" t="n"/>
      <c r="F5" s="3" t="n"/>
      <c r="G5" s="3" t="n"/>
      <c r="H5" s="3" t="n"/>
    </row>
    <row r="6">
      <c r="A6" s="4" t="inlineStr">
        <is>
          <t>Primary outputs</t>
        </is>
      </c>
      <c r="B6" s="3" t="inlineStr">
        <is>
          <t>Five standalone scenario DCF values/share, probability-weighted value/share, expected upside/downside and annualized return, reverse-DCF implied growth/margin, sensitivity tables.</t>
        </is>
      </c>
      <c r="C6" s="3" t="n"/>
      <c r="D6" s="3" t="n"/>
      <c r="E6" s="3" t="n"/>
      <c r="F6" s="3" t="n"/>
      <c r="G6" s="3" t="n"/>
      <c r="H6" s="3" t="n"/>
    </row>
    <row r="7">
      <c r="A7" s="4" t="inlineStr">
        <is>
          <t>Important</t>
        </is>
      </c>
      <c r="B7" s="3" t="inlineStr">
        <is>
          <t>This is a modeling framework, not a live market-data feed. Replace the initial assumptions with the latest filing/price data before making an investment decision.</t>
        </is>
      </c>
      <c r="C7" s="3" t="n"/>
      <c r="D7" s="3" t="n"/>
      <c r="E7" s="3" t="n"/>
      <c r="F7" s="3" t="n"/>
      <c r="G7" s="3" t="n"/>
      <c r="H7" s="3" t="n"/>
    </row>
    <row r="8">
      <c r="A8" s="4" t="inlineStr">
        <is>
          <t>Model convention</t>
        </is>
      </c>
      <c r="B8" s="3" t="inlineStr">
        <is>
          <t>$ millions except per-share data, percentages and MW. FCFF is calculated from NOPAT less reinvestment.</t>
        </is>
      </c>
      <c r="C8" s="3" t="n"/>
      <c r="D8" s="3" t="n"/>
      <c r="E8" s="3" t="n"/>
      <c r="F8" s="3" t="n"/>
      <c r="G8" s="3" t="n"/>
      <c r="H8" s="3" t="n"/>
    </row>
    <row r="9">
      <c r="A9" s="19" t="inlineStr">
        <is>
          <t>Model structure</t>
        </is>
      </c>
      <c r="B9" s="19" t="inlineStr">
        <is>
          <t>Five scenario DCF sheets, each a complete 10-year FCFF model with its own growth, margin, ROIC/reinvestment, WACC and terminal assumptions, feed a single probability-weighted Scenario Summary. The summary does not feed back into any DCF, so there are no circular references.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4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Inputs &amp; Current Facts</t>
        </is>
      </c>
      <c r="B1" s="18" t="n"/>
      <c r="C1" s="18" t="n"/>
      <c r="D1" s="18" t="n"/>
      <c r="E1" s="18" t="n"/>
      <c r="F1" s="18" t="n"/>
      <c r="G1" s="18" t="n"/>
      <c r="H1" s="18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5" t="inlineStr">
        <is>
          <t>Current Market / Capital Structure</t>
        </is>
      </c>
      <c r="B3" s="18" t="n"/>
      <c r="C3" s="18" t="n"/>
      <c r="D3" s="18" t="n"/>
      <c r="E3" s="18" t="n"/>
      <c r="F3" s="18" t="n"/>
      <c r="G3" s="18" t="n"/>
      <c r="H3" s="18" t="n"/>
    </row>
    <row r="4">
      <c r="A4" s="3" t="inlineStr">
        <is>
          <t>Reference share price</t>
        </is>
      </c>
      <c r="B4" s="20" t="n">
        <v>45</v>
      </c>
      <c r="C4" s="3" t="inlineStr">
        <is>
          <t>$/share</t>
        </is>
      </c>
      <c r="D4" s="3" t="inlineStr">
        <is>
          <t>User-editable</t>
        </is>
      </c>
      <c r="E4" s="3" t="n"/>
      <c r="F4" s="3" t="n"/>
      <c r="G4" s="3" t="n"/>
      <c r="H4" s="3" t="n"/>
    </row>
    <row r="5">
      <c r="A5" s="3" t="inlineStr">
        <is>
          <t>Diluted shares</t>
        </is>
      </c>
      <c r="B5" s="20" t="n">
        <v>380</v>
      </c>
      <c r="C5" s="3" t="inlineStr">
        <is>
          <t>mm</t>
        </is>
      </c>
      <c r="D5" s="3" t="inlineStr">
        <is>
          <t>Scenario assumption</t>
        </is>
      </c>
      <c r="E5" s="3" t="n"/>
      <c r="F5" s="3" t="n"/>
      <c r="G5" s="3" t="n"/>
      <c r="H5" s="3" t="n"/>
    </row>
    <row r="6">
      <c r="A6" s="3" t="inlineStr">
        <is>
          <t>Cash</t>
        </is>
      </c>
      <c r="B6" s="20" t="n">
        <v>2600</v>
      </c>
      <c r="C6" s="3" t="inlineStr">
        <is>
          <t>$mm</t>
        </is>
      </c>
      <c r="D6" s="3" t="inlineStr">
        <is>
          <t>Approximate post-March cash</t>
        </is>
      </c>
      <c r="E6" s="3" t="n"/>
      <c r="F6" s="3" t="n"/>
      <c r="G6" s="3" t="n"/>
      <c r="H6" s="3" t="n"/>
    </row>
    <row r="7">
      <c r="A7" s="3" t="inlineStr">
        <is>
          <t>Debt + finance leases</t>
        </is>
      </c>
      <c r="B7" s="20" t="n">
        <v>3800</v>
      </c>
      <c r="C7" s="3" t="inlineStr">
        <is>
          <t>$mm</t>
        </is>
      </c>
      <c r="D7" s="3" t="inlineStr">
        <is>
          <t>Approximate</t>
        </is>
      </c>
      <c r="E7" s="3" t="n"/>
      <c r="F7" s="3" t="n"/>
      <c r="G7" s="3" t="n"/>
      <c r="H7" s="3" t="n"/>
    </row>
    <row r="8">
      <c r="A8" s="3" t="inlineStr">
        <is>
          <t>Net debt</t>
        </is>
      </c>
      <c r="B8" s="7">
        <f>B7-B6</f>
        <v/>
      </c>
      <c r="C8" s="3" t="inlineStr">
        <is>
          <t>$mm</t>
        </is>
      </c>
      <c r="D8" s="3" t="inlineStr">
        <is>
          <t>Debt less cash</t>
        </is>
      </c>
      <c r="E8" s="3" t="n"/>
      <c r="F8" s="3" t="n"/>
      <c r="G8" s="3" t="n"/>
      <c r="H8" s="3" t="n"/>
    </row>
    <row r="9">
      <c r="A9" s="3" t="inlineStr">
        <is>
          <t>Current revenue run-rate</t>
        </is>
      </c>
      <c r="B9" s="20" t="n">
        <v>3700</v>
      </c>
      <c r="C9" s="3" t="inlineStr">
        <is>
          <t>$mm</t>
        </is>
      </c>
      <c r="D9" s="3" t="inlineStr">
        <is>
          <t>Management-target-style ARR anchor; replace with latest</t>
        </is>
      </c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5" t="inlineStr">
        <is>
          <t>Base Operating / Valuation Assumptions</t>
        </is>
      </c>
      <c r="B12" s="18" t="n"/>
      <c r="C12" s="18" t="n"/>
      <c r="D12" s="18" t="n"/>
      <c r="E12" s="18" t="n"/>
      <c r="F12" s="18" t="n"/>
      <c r="G12" s="18" t="n"/>
      <c r="H12" s="18" t="n"/>
    </row>
    <row r="13">
      <c r="A13" s="3" t="inlineStr">
        <is>
          <t>Base revenue growth Y1</t>
        </is>
      </c>
      <c r="B13" s="21" t="n">
        <v>0.45</v>
      </c>
      <c r="C13" s="3" t="inlineStr">
        <is>
          <t>%</t>
        </is>
      </c>
      <c r="D13" s="3" t="inlineStr">
        <is>
          <t>High-growth transition</t>
        </is>
      </c>
      <c r="E13" s="3" t="n"/>
      <c r="F13" s="3" t="n"/>
      <c r="G13" s="3" t="n"/>
      <c r="H13" s="3" t="n"/>
    </row>
    <row r="14">
      <c r="A14" s="3" t="inlineStr">
        <is>
          <t>Growth decay per year</t>
        </is>
      </c>
      <c r="B14" s="21" t="n">
        <v>0.06</v>
      </c>
      <c r="C14" s="3" t="inlineStr">
        <is>
          <t>% pts</t>
        </is>
      </c>
      <c r="D14" s="3" t="inlineStr">
        <is>
          <t>Growth declines each year</t>
        </is>
      </c>
      <c r="E14" s="3" t="n"/>
      <c r="F14" s="3" t="n"/>
      <c r="G14" s="3" t="n"/>
      <c r="H14" s="3" t="n"/>
    </row>
    <row r="15">
      <c r="A15" s="3" t="inlineStr">
        <is>
          <t>Base EBIT margin Y1</t>
        </is>
      </c>
      <c r="B15" s="21" t="n">
        <v>0.25</v>
      </c>
      <c r="C15" s="3" t="inlineStr">
        <is>
          <t>%</t>
        </is>
      </c>
      <c r="D15" s="3" t="inlineStr">
        <is>
          <t>Editable</t>
        </is>
      </c>
      <c r="E15" s="3" t="n"/>
      <c r="F15" s="3" t="n"/>
      <c r="G15" s="3" t="n"/>
      <c r="H15" s="3" t="n"/>
    </row>
    <row r="16">
      <c r="A16" s="3" t="inlineStr">
        <is>
          <t>Terminal EBIT margin</t>
        </is>
      </c>
      <c r="B16" s="21" t="n">
        <v>0.42</v>
      </c>
      <c r="C16" s="3" t="inlineStr">
        <is>
          <t>%</t>
        </is>
      </c>
      <c r="D16" s="3" t="inlineStr">
        <is>
          <t>Editable</t>
        </is>
      </c>
      <c r="E16" s="3" t="n"/>
      <c r="F16" s="3" t="n"/>
      <c r="G16" s="3" t="n"/>
      <c r="H16" s="3" t="n"/>
    </row>
    <row r="17">
      <c r="A17" s="3" t="inlineStr">
        <is>
          <t>Tax rate</t>
        </is>
      </c>
      <c r="B17" s="21" t="n">
        <v>0.18</v>
      </c>
      <c r="C17" s="3" t="inlineStr">
        <is>
          <t>%</t>
        </is>
      </c>
      <c r="D17" s="3" t="inlineStr">
        <is>
          <t>Editable</t>
        </is>
      </c>
      <c r="E17" s="3" t="n"/>
      <c r="F17" s="3" t="n"/>
      <c r="G17" s="3" t="n"/>
      <c r="H17" s="3" t="n"/>
    </row>
    <row r="18">
      <c r="A18" s="3" t="inlineStr">
        <is>
          <t>Base WACC</t>
        </is>
      </c>
      <c r="B18" s="21" t="n">
        <v>0.115</v>
      </c>
      <c r="C18" s="3" t="inlineStr">
        <is>
          <t>%</t>
        </is>
      </c>
      <c r="D18" s="3" t="inlineStr">
        <is>
          <t>Editable</t>
        </is>
      </c>
      <c r="E18" s="3" t="n"/>
      <c r="F18" s="3" t="n"/>
      <c r="G18" s="3" t="n"/>
      <c r="H18" s="3" t="n"/>
    </row>
    <row r="19">
      <c r="A19" s="3" t="inlineStr">
        <is>
          <t>Terminal growth</t>
        </is>
      </c>
      <c r="B19" s="21" t="n">
        <v>0.03</v>
      </c>
      <c r="C19" s="3" t="inlineStr">
        <is>
          <t>%</t>
        </is>
      </c>
      <c r="D19" s="3" t="inlineStr">
        <is>
          <t>Must remain below WACC</t>
        </is>
      </c>
      <c r="E19" s="3" t="n"/>
      <c r="F19" s="3" t="n"/>
      <c r="G19" s="3" t="n"/>
      <c r="H19" s="3" t="n"/>
    </row>
    <row r="20">
      <c r="A20" s="3" t="inlineStr">
        <is>
          <t>Terminal ROIC</t>
        </is>
      </c>
      <c r="B20" s="21" t="n">
        <v>0.15</v>
      </c>
      <c r="C20" s="3" t="inlineStr">
        <is>
          <t>%</t>
        </is>
      </c>
      <c r="D20" s="3" t="inlineStr">
        <is>
          <t>Stable-state assumption</t>
        </is>
      </c>
      <c r="E20" s="3" t="n"/>
      <c r="F20" s="3" t="n"/>
      <c r="G20" s="3" t="n"/>
      <c r="H20" s="3" t="n"/>
    </row>
    <row r="21">
      <c r="A21" s="3" t="inlineStr">
        <is>
          <t>Initial ROIC</t>
        </is>
      </c>
      <c r="B21" s="21" t="n">
        <v>0.22</v>
      </c>
      <c r="C21" s="3" t="inlineStr">
        <is>
          <t>%</t>
        </is>
      </c>
      <c r="D21" s="3" t="inlineStr">
        <is>
          <t>Used for reinvestment</t>
        </is>
      </c>
      <c r="E21" s="3" t="n"/>
      <c r="F21" s="3" t="n"/>
      <c r="G21" s="3" t="n"/>
      <c r="H21" s="3" t="n"/>
    </row>
    <row r="22">
      <c r="A22" s="3" t="inlineStr">
        <is>
          <t>Margin expansion per year</t>
        </is>
      </c>
      <c r="B22" s="21" t="n">
        <v>0.025</v>
      </c>
      <c r="C22" s="3" t="inlineStr">
        <is>
          <t>% pts</t>
        </is>
      </c>
      <c r="D22" s="3" t="inlineStr">
        <is>
          <t>Until terminal margin</t>
        </is>
      </c>
      <c r="E22" s="3" t="n"/>
      <c r="F22" s="3" t="n"/>
      <c r="G22" s="3" t="n"/>
      <c r="H22" s="3" t="n"/>
    </row>
    <row r="23">
      <c r="A23" s="3" t="inlineStr">
        <is>
          <t>Minimum revenue growth</t>
        </is>
      </c>
      <c r="B23" s="21" t="n">
        <v>0.05</v>
      </c>
      <c r="C23" s="3" t="inlineStr">
        <is>
          <t>%</t>
        </is>
      </c>
      <c r="D23" s="3" t="inlineStr">
        <is>
          <t>Floor before terminal</t>
        </is>
      </c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5" t="inlineStr">
        <is>
          <t>Scenario Multipliers / Overrides</t>
        </is>
      </c>
      <c r="B26" s="18" t="n"/>
      <c r="C26" s="18" t="n"/>
      <c r="D26" s="18" t="n"/>
      <c r="E26" s="18" t="n"/>
      <c r="F26" s="18" t="n"/>
      <c r="G26" s="18" t="n"/>
      <c r="H26" s="18" t="n"/>
    </row>
    <row r="27">
      <c r="A27" s="3" t="inlineStr">
        <is>
          <t>Use Scenario Sheet</t>
        </is>
      </c>
      <c r="B27" s="9" t="inlineStr">
        <is>
          <t>TRUE</t>
        </is>
      </c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inlineStr">
        <is>
          <t>Bear</t>
        </is>
      </c>
      <c r="B29" s="3" t="inlineStr">
        <is>
          <t>Growth -15%; Margin -8 pts; WACC +1.5 pts</t>
        </is>
      </c>
      <c r="C29" s="3" t="n"/>
      <c r="D29" s="3" t="n"/>
      <c r="E29" s="3" t="n"/>
      <c r="F29" s="3" t="n"/>
      <c r="G29" s="3" t="n"/>
      <c r="H29" s="3" t="n"/>
    </row>
    <row r="30">
      <c r="A30" s="3" t="inlineStr">
        <is>
          <t>Base</t>
        </is>
      </c>
      <c r="B30" s="3" t="inlineStr">
        <is>
          <t>Base assumptions</t>
        </is>
      </c>
      <c r="C30" s="3" t="n"/>
      <c r="D30" s="3" t="n"/>
      <c r="E30" s="3" t="n"/>
      <c r="F30" s="3" t="n"/>
      <c r="G30" s="3" t="n"/>
      <c r="H30" s="3" t="n"/>
    </row>
    <row r="31">
      <c r="A31" s="3" t="inlineStr">
        <is>
          <t>Bull</t>
        </is>
      </c>
      <c r="B31" s="3" t="inlineStr">
        <is>
          <t>Growth +10%; Margin +5 pts; WACC -1 pt</t>
        </is>
      </c>
      <c r="C31" s="3" t="n"/>
      <c r="D31" s="3" t="n"/>
      <c r="E31" s="3" t="n"/>
      <c r="F31" s="3" t="n"/>
      <c r="G31" s="3" t="n"/>
      <c r="H31" s="3" t="n"/>
    </row>
  </sheetData>
  <mergeCells count="4">
    <mergeCell ref="A12:H12"/>
    <mergeCell ref="A26:H26"/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55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Scenario Controls</t>
        </is>
      </c>
      <c r="B1" s="18" t="n"/>
      <c r="C1" s="18" t="n"/>
      <c r="D1" s="18" t="n"/>
      <c r="E1" s="18" t="n"/>
      <c r="F1" s="18" t="n"/>
      <c r="G1" s="18" t="n"/>
      <c r="H1" s="18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5" t="inlineStr">
        <is>
          <t>Scenario Inputs</t>
        </is>
      </c>
      <c r="B3" s="18" t="n"/>
      <c r="C3" s="18" t="n"/>
      <c r="D3" s="18" t="n"/>
      <c r="E3" s="18" t="n"/>
      <c r="F3" s="18" t="n"/>
      <c r="G3" s="18" t="n"/>
      <c r="H3" s="18" t="n"/>
    </row>
    <row r="4">
      <c r="A4" s="4" t="inlineStr">
        <is>
          <t>Scenario</t>
        </is>
      </c>
      <c r="B4" s="4" t="inlineStr">
        <is>
          <t>Probability</t>
        </is>
      </c>
      <c r="C4" s="4" t="inlineStr">
        <is>
          <t>Growth Adj</t>
        </is>
      </c>
      <c r="D4" s="4" t="inlineStr">
        <is>
          <t>Margin Adj</t>
        </is>
      </c>
      <c r="E4" s="4" t="inlineStr">
        <is>
          <t>WACC Adj</t>
        </is>
      </c>
      <c r="F4" s="4" t="inlineStr">
        <is>
          <t>Terminal g Adj</t>
        </is>
      </c>
      <c r="G4" s="4" t="inlineStr">
        <is>
          <t>ROIC Adj</t>
        </is>
      </c>
      <c r="H4" s="4" t="inlineStr">
        <is>
          <t>Description</t>
        </is>
      </c>
    </row>
    <row r="5">
      <c r="A5" s="9" t="inlineStr">
        <is>
          <t>Severe Bear</t>
        </is>
      </c>
      <c r="B5" s="21" t="n">
        <v>0.1</v>
      </c>
      <c r="C5" s="20" t="n">
        <v>-0.25</v>
      </c>
      <c r="D5" s="20" t="n">
        <v>-0.15</v>
      </c>
      <c r="E5" s="21" t="n">
        <v>0.025</v>
      </c>
      <c r="F5" s="20" t="n">
        <v>-0.005</v>
      </c>
      <c r="G5" s="20" t="n">
        <v>-0.05</v>
      </c>
      <c r="H5" s="3" t="inlineStr">
        <is>
          <t>AI economics deteriorate; high financing risk</t>
        </is>
      </c>
    </row>
    <row r="6">
      <c r="A6" s="9" t="inlineStr">
        <is>
          <t>Bear</t>
        </is>
      </c>
      <c r="B6" s="21" t="n">
        <v>0.2</v>
      </c>
      <c r="C6" s="20" t="n">
        <v>-0.15</v>
      </c>
      <c r="D6" s="20" t="n">
        <v>-0.08</v>
      </c>
      <c r="E6" s="21" t="n">
        <v>0.015</v>
      </c>
      <c r="F6" s="20" t="n">
        <v>-0.0025</v>
      </c>
      <c r="G6" s="20" t="n">
        <v>-0.03</v>
      </c>
      <c r="H6" s="3" t="inlineStr">
        <is>
          <t>Slower AI growth, weaker margins</t>
        </is>
      </c>
    </row>
    <row r="7">
      <c r="A7" s="9" t="inlineStr">
        <is>
          <t>Base</t>
        </is>
      </c>
      <c r="B7" s="21" t="n">
        <v>0.35</v>
      </c>
      <c r="C7" s="20" t="n">
        <v>0</v>
      </c>
      <c r="D7" s="20" t="n">
        <v>0</v>
      </c>
      <c r="E7" s="20" t="n">
        <v>0</v>
      </c>
      <c r="F7" s="20" t="n">
        <v>0</v>
      </c>
      <c r="G7" s="20" t="n">
        <v>0</v>
      </c>
      <c r="H7" s="3" t="inlineStr">
        <is>
          <t>Strong execution but normalized returns</t>
        </is>
      </c>
    </row>
    <row r="8">
      <c r="A8" s="9" t="inlineStr">
        <is>
          <t>Bull</t>
        </is>
      </c>
      <c r="B8" s="21" t="n">
        <v>0.25</v>
      </c>
      <c r="C8" s="21" t="n">
        <v>0.1</v>
      </c>
      <c r="D8" s="21" t="n">
        <v>0.05</v>
      </c>
      <c r="E8" s="20" t="n">
        <v>-0.01</v>
      </c>
      <c r="F8" s="21" t="n">
        <v>0.0025</v>
      </c>
      <c r="G8" s="21" t="n">
        <v>0.03</v>
      </c>
      <c r="H8" s="3" t="inlineStr">
        <is>
          <t>Strong utilization/pricing and execution</t>
        </is>
      </c>
    </row>
    <row r="9">
      <c r="A9" s="9" t="inlineStr">
        <is>
          <t>Extreme Bull</t>
        </is>
      </c>
      <c r="B9" s="21" t="n">
        <v>0.1</v>
      </c>
      <c r="C9" s="21" t="n">
        <v>0.2</v>
      </c>
      <c r="D9" s="21" t="n">
        <v>0.1</v>
      </c>
      <c r="E9" s="20" t="n">
        <v>-0.015</v>
      </c>
      <c r="F9" s="21" t="n">
        <v>0.005</v>
      </c>
      <c r="G9" s="21" t="n">
        <v>0.05</v>
      </c>
      <c r="H9" s="3" t="inlineStr">
        <is>
          <t>Exceptional AI platform economics</t>
        </is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5" t="inlineStr">
        <is>
          <t>Scenario DCF Sheets</t>
        </is>
      </c>
      <c r="B12" s="18" t="n"/>
      <c r="C12" s="18" t="n"/>
      <c r="D12" s="18" t="n"/>
      <c r="E12" s="18" t="n"/>
      <c r="F12" s="18" t="n"/>
      <c r="G12" s="18" t="n"/>
      <c r="H12" s="18" t="n"/>
    </row>
    <row r="13">
      <c r="A13" s="22" t="inlineStr">
        <is>
          <t>Severe Bear</t>
        </is>
      </c>
      <c r="B13" s="23" t="inlineStr">
        <is>
          <t>DCF-SevereBear</t>
        </is>
      </c>
      <c r="C13" s="3" t="n"/>
      <c r="D13" s="3" t="n"/>
      <c r="E13" s="3" t="n"/>
      <c r="F13" s="3" t="n"/>
      <c r="G13" s="3" t="n"/>
      <c r="H13" s="3" t="n"/>
    </row>
    <row r="14">
      <c r="A14" s="22" t="inlineStr">
        <is>
          <t>Bear</t>
        </is>
      </c>
      <c r="B14" s="23" t="inlineStr">
        <is>
          <t>DCF-Bear</t>
        </is>
      </c>
      <c r="C14" s="3" t="n"/>
      <c r="D14" s="3" t="n"/>
      <c r="E14" s="3" t="n"/>
      <c r="F14" s="3" t="n"/>
      <c r="G14" s="3" t="n"/>
      <c r="H14" s="3" t="n"/>
    </row>
    <row r="15">
      <c r="A15" s="22" t="inlineStr">
        <is>
          <t>Base</t>
        </is>
      </c>
      <c r="B15" s="23" t="inlineStr">
        <is>
          <t>DCF-Base</t>
        </is>
      </c>
      <c r="C15" s="3" t="n"/>
      <c r="D15" s="3" t="n"/>
      <c r="E15" s="3" t="n"/>
      <c r="F15" s="3" t="n"/>
      <c r="G15" s="3" t="n"/>
      <c r="H15" s="3" t="n"/>
    </row>
    <row r="16">
      <c r="A16" s="22" t="inlineStr">
        <is>
          <t>Bull</t>
        </is>
      </c>
      <c r="B16" s="23" t="inlineStr">
        <is>
          <t>DCF-Bull</t>
        </is>
      </c>
      <c r="C16" s="3" t="n"/>
      <c r="D16" s="3" t="n"/>
      <c r="E16" s="3" t="n"/>
      <c r="F16" s="3" t="n"/>
      <c r="G16" s="3" t="n"/>
      <c r="H16" s="3" t="n"/>
    </row>
    <row r="17">
      <c r="A17" s="19" t="inlineStr">
        <is>
          <t>Extreme Bull</t>
        </is>
      </c>
      <c r="B17" s="24" t="inlineStr">
        <is>
          <t>DCF-ExtremeBull</t>
        </is>
      </c>
    </row>
    <row r="19">
      <c r="A19" s="25" t="inlineStr">
        <is>
          <t>Each scenario row feeds its own DCF sheet. Edit the five scenario rows above; the Scenario Summary sheet probability-weights the five DCF results.</t>
        </is>
      </c>
    </row>
  </sheetData>
  <mergeCells count="3">
    <mergeCell ref="A12:H12"/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FCFF DCF — Severe Bear Scenario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5" t="inlineStr">
        <is>
          <t>Severe Bear Scenario Assumptions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</row>
    <row r="4">
      <c r="A4" s="3" t="inlineStr">
        <is>
          <t>Scenario</t>
        </is>
      </c>
      <c r="B4" s="7">
        <f>Scenarios!A5</f>
        <v/>
      </c>
      <c r="C4" s="3" t="n"/>
      <c r="D4" s="10" t="inlineStr">
        <is>
          <t>Each scenario has its own complete 10-year DCF sheet. Adjustments pull from the matching row on the Scenarios sheet. Edit yellow cells on Inputs and Scenarios; green cells are formulas/links.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inlineStr">
        <is>
          <t>Probability</t>
        </is>
      </c>
      <c r="B5" s="26">
        <f>Scenarios!B5</f>
        <v/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inlineStr">
        <is>
          <t>Growth adjustment</t>
        </is>
      </c>
      <c r="B6" s="26">
        <f>Scenarios!C5</f>
        <v/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inlineStr">
        <is>
          <t>Margin adjustment</t>
        </is>
      </c>
      <c r="B7" s="26">
        <f>Scenarios!D5</f>
        <v/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inlineStr">
        <is>
          <t>WACC adjustment</t>
        </is>
      </c>
      <c r="B8" s="26">
        <f>Scenarios!E5</f>
        <v/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inlineStr">
        <is>
          <t>Terminal g adjustment</t>
        </is>
      </c>
      <c r="B9" s="26">
        <f>Scenarios!F5</f>
        <v/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inlineStr">
        <is>
          <t>ROIC adjustment</t>
        </is>
      </c>
      <c r="B10" s="26">
        <f>Scenarios!G5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inlineStr">
        <is>
          <t>Effective WACC</t>
        </is>
      </c>
      <c r="B11" s="26">
        <f>Inputs!$B$18+$B$8</f>
        <v/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inlineStr">
        <is>
          <t>Effective terminal growth</t>
        </is>
      </c>
      <c r="B12" s="26">
        <f>Inputs!$B$19+$B$9</f>
        <v/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5" t="inlineStr">
        <is>
          <t>10-Year Forecast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>
      <c r="A14" s="11" t="inlineStr">
        <is>
          <t>Metric</t>
        </is>
      </c>
      <c r="B14" s="11" t="inlineStr">
        <is>
          <t>Y1</t>
        </is>
      </c>
      <c r="C14" s="11" t="inlineStr">
        <is>
          <t>Y2</t>
        </is>
      </c>
      <c r="D14" s="11" t="inlineStr">
        <is>
          <t>Y3</t>
        </is>
      </c>
      <c r="E14" s="11" t="inlineStr">
        <is>
          <t>Y4</t>
        </is>
      </c>
      <c r="F14" s="11" t="inlineStr">
        <is>
          <t>Y5</t>
        </is>
      </c>
      <c r="G14" s="11" t="inlineStr">
        <is>
          <t>Y6</t>
        </is>
      </c>
      <c r="H14" s="11" t="inlineStr">
        <is>
          <t>Y7</t>
        </is>
      </c>
      <c r="I14" s="11" t="inlineStr">
        <is>
          <t>Y8</t>
        </is>
      </c>
      <c r="J14" s="11" t="inlineStr">
        <is>
          <t>Y9</t>
        </is>
      </c>
      <c r="K14" s="11" t="inlineStr">
        <is>
          <t>Y10</t>
        </is>
      </c>
      <c r="L14" s="3" t="n"/>
      <c r="M14" s="3" t="n"/>
    </row>
    <row r="15">
      <c r="A15" s="4" t="inlineStr">
        <is>
          <t>Revenue</t>
        </is>
      </c>
      <c r="B15" s="3">
        <f>Inputs!$B$9*(1+MAX(Inputs!$B$13+($B$6),Inputs!$B$23))</f>
        <v/>
      </c>
      <c r="C15" s="3">
        <f>B15*(1+MAX(B16-Inputs!$B$14,Inputs!$B$23))</f>
        <v/>
      </c>
      <c r="D15" s="3">
        <f>C15*(1+MAX(C16-Inputs!$B$14,Inputs!$B$23))</f>
        <v/>
      </c>
      <c r="E15" s="3">
        <f>D15*(1+MAX(D16-Inputs!$B$14,Inputs!$B$23))</f>
        <v/>
      </c>
      <c r="F15" s="3">
        <f>E15*(1+MAX(E16-Inputs!$B$14,Inputs!$B$23))</f>
        <v/>
      </c>
      <c r="G15" s="3">
        <f>F15*(1+MAX(F16-Inputs!$B$14,Inputs!$B$23))</f>
        <v/>
      </c>
      <c r="H15" s="3">
        <f>G15*(1+MAX(G16-Inputs!$B$14,Inputs!$B$23))</f>
        <v/>
      </c>
      <c r="I15" s="3">
        <f>H15*(1+MAX(H16-Inputs!$B$14,Inputs!$B$23))</f>
        <v/>
      </c>
      <c r="J15" s="3">
        <f>I15*(1+MAX(I16-Inputs!$B$14,Inputs!$B$23))</f>
        <v/>
      </c>
      <c r="K15" s="3">
        <f>J15*(1+MAX(J16-Inputs!$B$14,Inputs!$B$23))</f>
        <v/>
      </c>
      <c r="L15" s="3" t="n"/>
      <c r="M15" s="3" t="n"/>
    </row>
    <row r="16">
      <c r="A16" s="4" t="inlineStr">
        <is>
          <t>Growth</t>
        </is>
      </c>
      <c r="B16" s="27">
        <f>B15/Inputs!$B$9-1</f>
        <v/>
      </c>
      <c r="C16" s="27">
        <f>MAX(B16-Inputs!$B$14,Inputs!$B$23)</f>
        <v/>
      </c>
      <c r="D16" s="27">
        <f>MAX(C16-Inputs!$B$14,Inputs!$B$23)</f>
        <v/>
      </c>
      <c r="E16" s="27">
        <f>MAX(D16-Inputs!$B$14,Inputs!$B$23)</f>
        <v/>
      </c>
      <c r="F16" s="27">
        <f>MAX(E16-Inputs!$B$14,Inputs!$B$23)</f>
        <v/>
      </c>
      <c r="G16" s="27">
        <f>MAX(F16-Inputs!$B$14,Inputs!$B$23)</f>
        <v/>
      </c>
      <c r="H16" s="27">
        <f>MAX(G16-Inputs!$B$14,Inputs!$B$23)</f>
        <v/>
      </c>
      <c r="I16" s="27">
        <f>MAX(H16-Inputs!$B$14,Inputs!$B$23)</f>
        <v/>
      </c>
      <c r="J16" s="27">
        <f>MAX(I16-Inputs!$B$14,Inputs!$B$23)</f>
        <v/>
      </c>
      <c r="K16" s="27">
        <f>MAX(J16-Inputs!$B$14,Inputs!$B$23)</f>
        <v/>
      </c>
      <c r="L16" s="3" t="n"/>
      <c r="M16" s="3" t="n"/>
    </row>
    <row r="17">
      <c r="A17" s="4" t="inlineStr">
        <is>
          <t>EBIT Margin</t>
        </is>
      </c>
      <c r="B17" s="27">
        <f>MIN(Inputs!$B$16+$B$7,Inputs!$B$15+$B$7+Inputs!$B$22*0)</f>
        <v/>
      </c>
      <c r="C17" s="27">
        <f>MIN(Inputs!$B$16+$B$7,Inputs!$B$15+$B$7+Inputs!$B$22*1)</f>
        <v/>
      </c>
      <c r="D17" s="27">
        <f>MIN(Inputs!$B$16+$B$7,Inputs!$B$15+$B$7+Inputs!$B$22*2)</f>
        <v/>
      </c>
      <c r="E17" s="27">
        <f>MIN(Inputs!$B$16+$B$7,Inputs!$B$15+$B$7+Inputs!$B$22*3)</f>
        <v/>
      </c>
      <c r="F17" s="27">
        <f>MIN(Inputs!$B$16+$B$7,Inputs!$B$15+$B$7+Inputs!$B$22*4)</f>
        <v/>
      </c>
      <c r="G17" s="27">
        <f>MIN(Inputs!$B$16+$B$7,Inputs!$B$15+$B$7+Inputs!$B$22*5)</f>
        <v/>
      </c>
      <c r="H17" s="27">
        <f>MIN(Inputs!$B$16+$B$7,Inputs!$B$15+$B$7+Inputs!$B$22*6)</f>
        <v/>
      </c>
      <c r="I17" s="27">
        <f>MIN(Inputs!$B$16+$B$7,Inputs!$B$15+$B$7+Inputs!$B$22*7)</f>
        <v/>
      </c>
      <c r="J17" s="27">
        <f>MIN(Inputs!$B$16+$B$7,Inputs!$B$15+$B$7+Inputs!$B$22*8)</f>
        <v/>
      </c>
      <c r="K17" s="27">
        <f>MIN(Inputs!$B$16+$B$7,Inputs!$B$15+$B$7+Inputs!$B$22*9)</f>
        <v/>
      </c>
      <c r="L17" s="3" t="n"/>
      <c r="M17" s="3" t="n"/>
    </row>
    <row r="18">
      <c r="A18" s="4" t="inlineStr">
        <is>
          <t>EBIT</t>
        </is>
      </c>
      <c r="B18" s="3">
        <f>B15*B17</f>
        <v/>
      </c>
      <c r="C18" s="3">
        <f>C15*C17</f>
        <v/>
      </c>
      <c r="D18" s="3">
        <f>D15*D17</f>
        <v/>
      </c>
      <c r="E18" s="3">
        <f>E15*E17</f>
        <v/>
      </c>
      <c r="F18" s="3">
        <f>F15*F17</f>
        <v/>
      </c>
      <c r="G18" s="3">
        <f>G15*G17</f>
        <v/>
      </c>
      <c r="H18" s="3">
        <f>H15*H17</f>
        <v/>
      </c>
      <c r="I18" s="3">
        <f>I15*I17</f>
        <v/>
      </c>
      <c r="J18" s="3">
        <f>J15*J17</f>
        <v/>
      </c>
      <c r="K18" s="3">
        <f>K15*K17</f>
        <v/>
      </c>
      <c r="L18" s="3" t="n"/>
      <c r="M18" s="3" t="n"/>
    </row>
    <row r="19">
      <c r="A19" s="4" t="inlineStr">
        <is>
          <t>Tax</t>
        </is>
      </c>
      <c r="B19" s="27">
        <f>Inputs!$B$17</f>
        <v/>
      </c>
      <c r="C19" s="27">
        <f>Inputs!$B$17</f>
        <v/>
      </c>
      <c r="D19" s="27">
        <f>Inputs!$B$17</f>
        <v/>
      </c>
      <c r="E19" s="27">
        <f>Inputs!$B$17</f>
        <v/>
      </c>
      <c r="F19" s="27">
        <f>Inputs!$B$17</f>
        <v/>
      </c>
      <c r="G19" s="27">
        <f>Inputs!$B$17</f>
        <v/>
      </c>
      <c r="H19" s="27">
        <f>Inputs!$B$17</f>
        <v/>
      </c>
      <c r="I19" s="27">
        <f>Inputs!$B$17</f>
        <v/>
      </c>
      <c r="J19" s="27">
        <f>Inputs!$B$17</f>
        <v/>
      </c>
      <c r="K19" s="27">
        <f>Inputs!$B$17</f>
        <v/>
      </c>
      <c r="L19" s="3" t="n"/>
      <c r="M19" s="3" t="n"/>
    </row>
    <row r="20">
      <c r="A20" s="4" t="inlineStr">
        <is>
          <t>NOPAT</t>
        </is>
      </c>
      <c r="B20" s="3">
        <f>B18*(1-B19)</f>
        <v/>
      </c>
      <c r="C20" s="3">
        <f>C18*(1-C19)</f>
        <v/>
      </c>
      <c r="D20" s="3">
        <f>D18*(1-D19)</f>
        <v/>
      </c>
      <c r="E20" s="3">
        <f>E18*(1-E19)</f>
        <v/>
      </c>
      <c r="F20" s="3">
        <f>F18*(1-F19)</f>
        <v/>
      </c>
      <c r="G20" s="3">
        <f>G18*(1-G19)</f>
        <v/>
      </c>
      <c r="H20" s="3">
        <f>H18*(1-H19)</f>
        <v/>
      </c>
      <c r="I20" s="3">
        <f>I18*(1-I19)</f>
        <v/>
      </c>
      <c r="J20" s="3">
        <f>J18*(1-J19)</f>
        <v/>
      </c>
      <c r="K20" s="3">
        <f>K18*(1-K19)</f>
        <v/>
      </c>
      <c r="L20" s="3" t="n"/>
      <c r="M20" s="3" t="n"/>
    </row>
    <row r="21">
      <c r="A21" s="4" t="inlineStr">
        <is>
          <t>ROIC</t>
        </is>
      </c>
      <c r="B21" s="27">
        <f>MAX(Inputs!$B$20+$B$10,Inputs!$B$21+$B$10-(Inputs!$B$21-Inputs!$B$20)*0/9)</f>
        <v/>
      </c>
      <c r="C21" s="27">
        <f>MAX(Inputs!$B$20+$B$10,Inputs!$B$21+$B$10-(Inputs!$B$21-Inputs!$B$20)*1/9)</f>
        <v/>
      </c>
      <c r="D21" s="27">
        <f>MAX(Inputs!$B$20+$B$10,Inputs!$B$21+$B$10-(Inputs!$B$21-Inputs!$B$20)*2/9)</f>
        <v/>
      </c>
      <c r="E21" s="27">
        <f>MAX(Inputs!$B$20+$B$10,Inputs!$B$21+$B$10-(Inputs!$B$21-Inputs!$B$20)*3/9)</f>
        <v/>
      </c>
      <c r="F21" s="27">
        <f>MAX(Inputs!$B$20+$B$10,Inputs!$B$21+$B$10-(Inputs!$B$21-Inputs!$B$20)*4/9)</f>
        <v/>
      </c>
      <c r="G21" s="27">
        <f>MAX(Inputs!$B$20+$B$10,Inputs!$B$21+$B$10-(Inputs!$B$21-Inputs!$B$20)*5/9)</f>
        <v/>
      </c>
      <c r="H21" s="27">
        <f>MAX(Inputs!$B$20+$B$10,Inputs!$B$21+$B$10-(Inputs!$B$21-Inputs!$B$20)*6/9)</f>
        <v/>
      </c>
      <c r="I21" s="27">
        <f>MAX(Inputs!$B$20+$B$10,Inputs!$B$21+$B$10-(Inputs!$B$21-Inputs!$B$20)*7/9)</f>
        <v/>
      </c>
      <c r="J21" s="27">
        <f>MAX(Inputs!$B$20+$B$10,Inputs!$B$21+$B$10-(Inputs!$B$21-Inputs!$B$20)*8/9)</f>
        <v/>
      </c>
      <c r="K21" s="27">
        <f>MAX(Inputs!$B$20+$B$10,Inputs!$B$21+$B$10-(Inputs!$B$21-Inputs!$B$20)*9/9)</f>
        <v/>
      </c>
      <c r="L21" s="3" t="n"/>
      <c r="M21" s="3" t="n"/>
    </row>
    <row r="22">
      <c r="A22" s="4" t="inlineStr">
        <is>
          <t>Reinvestment Rate</t>
        </is>
      </c>
      <c r="B22" s="27">
        <f>B16/B21</f>
        <v/>
      </c>
      <c r="C22" s="27">
        <f>C16/C21</f>
        <v/>
      </c>
      <c r="D22" s="27">
        <f>D16/D21</f>
        <v/>
      </c>
      <c r="E22" s="27">
        <f>E16/E21</f>
        <v/>
      </c>
      <c r="F22" s="27">
        <f>F16/F21</f>
        <v/>
      </c>
      <c r="G22" s="27">
        <f>G16/G21</f>
        <v/>
      </c>
      <c r="H22" s="27">
        <f>H16/H21</f>
        <v/>
      </c>
      <c r="I22" s="27">
        <f>I16/I21</f>
        <v/>
      </c>
      <c r="J22" s="27">
        <f>J16/J21</f>
        <v/>
      </c>
      <c r="K22" s="27">
        <f>K16/K21</f>
        <v/>
      </c>
      <c r="L22" s="3" t="n"/>
      <c r="M22" s="3" t="n"/>
    </row>
    <row r="23">
      <c r="A23" s="4" t="inlineStr">
        <is>
          <t>Reinvestment</t>
        </is>
      </c>
      <c r="B23" s="3">
        <f>B20*B22</f>
        <v/>
      </c>
      <c r="C23" s="3">
        <f>C20*C22</f>
        <v/>
      </c>
      <c r="D23" s="3">
        <f>D20*D22</f>
        <v/>
      </c>
      <c r="E23" s="3">
        <f>E20*E22</f>
        <v/>
      </c>
      <c r="F23" s="3">
        <f>F20*F22</f>
        <v/>
      </c>
      <c r="G23" s="3">
        <f>G20*G22</f>
        <v/>
      </c>
      <c r="H23" s="3">
        <f>H20*H22</f>
        <v/>
      </c>
      <c r="I23" s="3">
        <f>I20*I22</f>
        <v/>
      </c>
      <c r="J23" s="3">
        <f>J20*J22</f>
        <v/>
      </c>
      <c r="K23" s="3">
        <f>K20*K22</f>
        <v/>
      </c>
      <c r="L23" s="3" t="n"/>
      <c r="M23" s="3" t="n"/>
    </row>
    <row r="24">
      <c r="A24" s="4" t="inlineStr">
        <is>
          <t>FCFF</t>
        </is>
      </c>
      <c r="B24" s="3">
        <f>B20-B23</f>
        <v/>
      </c>
      <c r="C24" s="3">
        <f>C20-C23</f>
        <v/>
      </c>
      <c r="D24" s="3">
        <f>D20-D23</f>
        <v/>
      </c>
      <c r="E24" s="3">
        <f>E20-E23</f>
        <v/>
      </c>
      <c r="F24" s="3">
        <f>F20-F23</f>
        <v/>
      </c>
      <c r="G24" s="3">
        <f>G20-G23</f>
        <v/>
      </c>
      <c r="H24" s="3">
        <f>H20-H23</f>
        <v/>
      </c>
      <c r="I24" s="3">
        <f>I20-I23</f>
        <v/>
      </c>
      <c r="J24" s="3">
        <f>J20-J23</f>
        <v/>
      </c>
      <c r="K24" s="3">
        <f>K20-K23</f>
        <v/>
      </c>
      <c r="L24" s="3" t="n"/>
      <c r="M24" s="3" t="n"/>
    </row>
    <row r="25">
      <c r="A25" s="4" t="inlineStr">
        <is>
          <t>Discount Factor</t>
        </is>
      </c>
      <c r="B25" s="27">
        <f>1/(1+$B$11)^1</f>
        <v/>
      </c>
      <c r="C25" s="27">
        <f>1/(1+$B$11)^2</f>
        <v/>
      </c>
      <c r="D25" s="27">
        <f>1/(1+$B$11)^3</f>
        <v/>
      </c>
      <c r="E25" s="27">
        <f>1/(1+$B$11)^4</f>
        <v/>
      </c>
      <c r="F25" s="27">
        <f>1/(1+$B$11)^5</f>
        <v/>
      </c>
      <c r="G25" s="27">
        <f>1/(1+$B$11)^6</f>
        <v/>
      </c>
      <c r="H25" s="27">
        <f>1/(1+$B$11)^7</f>
        <v/>
      </c>
      <c r="I25" s="27">
        <f>1/(1+$B$11)^8</f>
        <v/>
      </c>
      <c r="J25" s="27">
        <f>1/(1+$B$11)^9</f>
        <v/>
      </c>
      <c r="K25" s="27">
        <f>1/(1+$B$11)^10</f>
        <v/>
      </c>
      <c r="L25" s="3" t="n"/>
      <c r="M25" s="3" t="n"/>
    </row>
    <row r="26">
      <c r="A26" s="4" t="inlineStr">
        <is>
          <t>PV of FCFF</t>
        </is>
      </c>
      <c r="B26" s="3">
        <f>B24*B25</f>
        <v/>
      </c>
      <c r="C26" s="3">
        <f>C24*C25</f>
        <v/>
      </c>
      <c r="D26" s="3">
        <f>D24*D25</f>
        <v/>
      </c>
      <c r="E26" s="3">
        <f>E24*E25</f>
        <v/>
      </c>
      <c r="F26" s="3">
        <f>F24*F25</f>
        <v/>
      </c>
      <c r="G26" s="3">
        <f>G24*G25</f>
        <v/>
      </c>
      <c r="H26" s="3">
        <f>H24*H25</f>
        <v/>
      </c>
      <c r="I26" s="3">
        <f>I24*I25</f>
        <v/>
      </c>
      <c r="J26" s="3">
        <f>J24*J25</f>
        <v/>
      </c>
      <c r="K26" s="3">
        <f>K24*K25</f>
        <v/>
      </c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5" t="inlineStr">
        <is>
          <t>Terminal Value &amp; Equity Value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</row>
    <row r="30">
      <c r="A30" s="3" t="inlineStr">
        <is>
          <t>Terminal growth</t>
        </is>
      </c>
      <c r="B30" s="26">
        <f>$B$12</f>
        <v/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inlineStr">
        <is>
          <t>Terminal ROIC</t>
        </is>
      </c>
      <c r="B31" s="26">
        <f>Inputs!$B$20+$B$10</f>
        <v/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inlineStr">
        <is>
          <t>Terminal reinvestment rate</t>
        </is>
      </c>
      <c r="B32" s="26">
        <f>B30/B31</f>
        <v/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inlineStr">
        <is>
          <t>Terminal FCFF</t>
        </is>
      </c>
      <c r="B33" s="7">
        <f>K20*(1+B30)*(1-B32)</f>
        <v/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inlineStr">
        <is>
          <t>Terminal value</t>
        </is>
      </c>
      <c r="B34" s="7">
        <f>B33/($B$11-B30)</f>
        <v/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inlineStr">
        <is>
          <t>PV of explicit FCFF</t>
        </is>
      </c>
      <c r="B35" s="7">
        <f>SUM(B26:K26)</f>
        <v/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inlineStr">
        <is>
          <t>PV of terminal value</t>
        </is>
      </c>
      <c r="B36" s="7">
        <f>B34/(1+$B$11)^10</f>
        <v/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inlineStr">
        <is>
          <t>Enterprise value</t>
        </is>
      </c>
      <c r="B37" s="7">
        <f>B35+B36</f>
        <v/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inlineStr">
        <is>
          <t>Less net debt</t>
        </is>
      </c>
      <c r="B38" s="7">
        <f>Inputs!$B$8</f>
        <v/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inlineStr">
        <is>
          <t>Equity value</t>
        </is>
      </c>
      <c r="B39" s="7">
        <f>B37-B38</f>
        <v/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inlineStr">
        <is>
          <t>Diluted shares</t>
        </is>
      </c>
      <c r="B40" s="7">
        <f>Inputs!$B$5</f>
        <v/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inlineStr">
        <is>
          <t>Intrinsic value / share</t>
        </is>
      </c>
      <c r="B41" s="28">
        <f>B39/B40</f>
        <v/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inlineStr">
        <is>
          <t>Terminal value / EV</t>
        </is>
      </c>
      <c r="B42" s="26">
        <f>B36/B37</f>
        <v/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</sheetData>
  <mergeCells count="4">
    <mergeCell ref="A3:M3"/>
    <mergeCell ref="A13:M13"/>
    <mergeCell ref="A1:M1"/>
    <mergeCell ref="A29:M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9" t="inlineStr">
        <is>
          <t>FCFF DCF — Bear Scenario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30" t="inlineStr">
        <is>
          <t>Bear Scenario Assumptions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</row>
    <row r="4">
      <c r="A4" s="3" t="inlineStr">
        <is>
          <t>Scenario</t>
        </is>
      </c>
      <c r="B4" s="7">
        <f>Scenarios!A6</f>
        <v/>
      </c>
      <c r="C4" s="3" t="n"/>
      <c r="D4" s="10" t="inlineStr">
        <is>
          <t>Each scenario has its own complete 10-year DCF sheet. Adjustments pull from the matching row on the Scenarios sheet. Edit yellow cells on Inputs and Scenarios; green cells are formulas/links.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inlineStr">
        <is>
          <t>Probability</t>
        </is>
      </c>
      <c r="B5" s="26">
        <f>Scenarios!B6</f>
        <v/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inlineStr">
        <is>
          <t>Growth adjustment</t>
        </is>
      </c>
      <c r="B6" s="26">
        <f>Scenarios!C6</f>
        <v/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inlineStr">
        <is>
          <t>Margin adjustment</t>
        </is>
      </c>
      <c r="B7" s="26">
        <f>Scenarios!D6</f>
        <v/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inlineStr">
        <is>
          <t>WACC adjustment</t>
        </is>
      </c>
      <c r="B8" s="26">
        <f>Scenarios!E6</f>
        <v/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inlineStr">
        <is>
          <t>Terminal g adjustment</t>
        </is>
      </c>
      <c r="B9" s="26">
        <f>Scenarios!F6</f>
        <v/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inlineStr">
        <is>
          <t>ROIC adjustment</t>
        </is>
      </c>
      <c r="B10" s="26">
        <f>Scenarios!G6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inlineStr">
        <is>
          <t>Effective WACC</t>
        </is>
      </c>
      <c r="B11" s="26">
        <f>Inputs!$B$18+$B$8</f>
        <v/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inlineStr">
        <is>
          <t>Effective terminal growth</t>
        </is>
      </c>
      <c r="B12" s="26">
        <f>Inputs!$B$19+$B$9</f>
        <v/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0" t="inlineStr">
        <is>
          <t>10-Year Forecast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>
      <c r="A14" s="11" t="inlineStr">
        <is>
          <t>Metric</t>
        </is>
      </c>
      <c r="B14" s="11" t="inlineStr">
        <is>
          <t>Y1</t>
        </is>
      </c>
      <c r="C14" s="11" t="inlineStr">
        <is>
          <t>Y2</t>
        </is>
      </c>
      <c r="D14" s="11" t="inlineStr">
        <is>
          <t>Y3</t>
        </is>
      </c>
      <c r="E14" s="11" t="inlineStr">
        <is>
          <t>Y4</t>
        </is>
      </c>
      <c r="F14" s="11" t="inlineStr">
        <is>
          <t>Y5</t>
        </is>
      </c>
      <c r="G14" s="11" t="inlineStr">
        <is>
          <t>Y6</t>
        </is>
      </c>
      <c r="H14" s="11" t="inlineStr">
        <is>
          <t>Y7</t>
        </is>
      </c>
      <c r="I14" s="11" t="inlineStr">
        <is>
          <t>Y8</t>
        </is>
      </c>
      <c r="J14" s="11" t="inlineStr">
        <is>
          <t>Y9</t>
        </is>
      </c>
      <c r="K14" s="11" t="inlineStr">
        <is>
          <t>Y10</t>
        </is>
      </c>
      <c r="L14" s="3" t="n"/>
      <c r="M14" s="3" t="n"/>
    </row>
    <row r="15">
      <c r="A15" s="4" t="inlineStr">
        <is>
          <t>Revenue</t>
        </is>
      </c>
      <c r="B15" s="3">
        <f>Inputs!$B$9*(1+MAX(Inputs!$B$13+($B$6),Inputs!$B$23))</f>
        <v/>
      </c>
      <c r="C15" s="3">
        <f>B15*(1+MAX(B16-Inputs!$B$14,Inputs!$B$23))</f>
        <v/>
      </c>
      <c r="D15" s="3">
        <f>C15*(1+MAX(C16-Inputs!$B$14,Inputs!$B$23))</f>
        <v/>
      </c>
      <c r="E15" s="3">
        <f>D15*(1+MAX(D16-Inputs!$B$14,Inputs!$B$23))</f>
        <v/>
      </c>
      <c r="F15" s="3">
        <f>E15*(1+MAX(E16-Inputs!$B$14,Inputs!$B$23))</f>
        <v/>
      </c>
      <c r="G15" s="3">
        <f>F15*(1+MAX(F16-Inputs!$B$14,Inputs!$B$23))</f>
        <v/>
      </c>
      <c r="H15" s="3">
        <f>G15*(1+MAX(G16-Inputs!$B$14,Inputs!$B$23))</f>
        <v/>
      </c>
      <c r="I15" s="3">
        <f>H15*(1+MAX(H16-Inputs!$B$14,Inputs!$B$23))</f>
        <v/>
      </c>
      <c r="J15" s="3">
        <f>I15*(1+MAX(I16-Inputs!$B$14,Inputs!$B$23))</f>
        <v/>
      </c>
      <c r="K15" s="3">
        <f>J15*(1+MAX(J16-Inputs!$B$14,Inputs!$B$23))</f>
        <v/>
      </c>
      <c r="L15" s="3" t="n"/>
      <c r="M15" s="3" t="n"/>
    </row>
    <row r="16">
      <c r="A16" s="4" t="inlineStr">
        <is>
          <t>Growth</t>
        </is>
      </c>
      <c r="B16" s="27">
        <f>B15/Inputs!$B$9-1</f>
        <v/>
      </c>
      <c r="C16" s="27">
        <f>MAX(B16-Inputs!$B$14,Inputs!$B$23)</f>
        <v/>
      </c>
      <c r="D16" s="27">
        <f>MAX(C16-Inputs!$B$14,Inputs!$B$23)</f>
        <v/>
      </c>
      <c r="E16" s="27">
        <f>MAX(D16-Inputs!$B$14,Inputs!$B$23)</f>
        <v/>
      </c>
      <c r="F16" s="27">
        <f>MAX(E16-Inputs!$B$14,Inputs!$B$23)</f>
        <v/>
      </c>
      <c r="G16" s="27">
        <f>MAX(F16-Inputs!$B$14,Inputs!$B$23)</f>
        <v/>
      </c>
      <c r="H16" s="27">
        <f>MAX(G16-Inputs!$B$14,Inputs!$B$23)</f>
        <v/>
      </c>
      <c r="I16" s="27">
        <f>MAX(H16-Inputs!$B$14,Inputs!$B$23)</f>
        <v/>
      </c>
      <c r="J16" s="27">
        <f>MAX(I16-Inputs!$B$14,Inputs!$B$23)</f>
        <v/>
      </c>
      <c r="K16" s="27">
        <f>MAX(J16-Inputs!$B$14,Inputs!$B$23)</f>
        <v/>
      </c>
      <c r="L16" s="3" t="n"/>
      <c r="M16" s="3" t="n"/>
    </row>
    <row r="17">
      <c r="A17" s="4" t="inlineStr">
        <is>
          <t>EBIT Margin</t>
        </is>
      </c>
      <c r="B17" s="27">
        <f>MIN(Inputs!$B$16+$B$7,Inputs!$B$15+$B$7+Inputs!$B$22*0)</f>
        <v/>
      </c>
      <c r="C17" s="27">
        <f>MIN(Inputs!$B$16+$B$7,Inputs!$B$15+$B$7+Inputs!$B$22*1)</f>
        <v/>
      </c>
      <c r="D17" s="27">
        <f>MIN(Inputs!$B$16+$B$7,Inputs!$B$15+$B$7+Inputs!$B$22*2)</f>
        <v/>
      </c>
      <c r="E17" s="27">
        <f>MIN(Inputs!$B$16+$B$7,Inputs!$B$15+$B$7+Inputs!$B$22*3)</f>
        <v/>
      </c>
      <c r="F17" s="27">
        <f>MIN(Inputs!$B$16+$B$7,Inputs!$B$15+$B$7+Inputs!$B$22*4)</f>
        <v/>
      </c>
      <c r="G17" s="27">
        <f>MIN(Inputs!$B$16+$B$7,Inputs!$B$15+$B$7+Inputs!$B$22*5)</f>
        <v/>
      </c>
      <c r="H17" s="27">
        <f>MIN(Inputs!$B$16+$B$7,Inputs!$B$15+$B$7+Inputs!$B$22*6)</f>
        <v/>
      </c>
      <c r="I17" s="27">
        <f>MIN(Inputs!$B$16+$B$7,Inputs!$B$15+$B$7+Inputs!$B$22*7)</f>
        <v/>
      </c>
      <c r="J17" s="27">
        <f>MIN(Inputs!$B$16+$B$7,Inputs!$B$15+$B$7+Inputs!$B$22*8)</f>
        <v/>
      </c>
      <c r="K17" s="27">
        <f>MIN(Inputs!$B$16+$B$7,Inputs!$B$15+$B$7+Inputs!$B$22*9)</f>
        <v/>
      </c>
      <c r="L17" s="3" t="n"/>
      <c r="M17" s="3" t="n"/>
    </row>
    <row r="18">
      <c r="A18" s="4" t="inlineStr">
        <is>
          <t>EBIT</t>
        </is>
      </c>
      <c r="B18" s="3">
        <f>B15*B17</f>
        <v/>
      </c>
      <c r="C18" s="3">
        <f>C15*C17</f>
        <v/>
      </c>
      <c r="D18" s="3">
        <f>D15*D17</f>
        <v/>
      </c>
      <c r="E18" s="3">
        <f>E15*E17</f>
        <v/>
      </c>
      <c r="F18" s="3">
        <f>F15*F17</f>
        <v/>
      </c>
      <c r="G18" s="3">
        <f>G15*G17</f>
        <v/>
      </c>
      <c r="H18" s="3">
        <f>H15*H17</f>
        <v/>
      </c>
      <c r="I18" s="3">
        <f>I15*I17</f>
        <v/>
      </c>
      <c r="J18" s="3">
        <f>J15*J17</f>
        <v/>
      </c>
      <c r="K18" s="3">
        <f>K15*K17</f>
        <v/>
      </c>
      <c r="L18" s="3" t="n"/>
      <c r="M18" s="3" t="n"/>
    </row>
    <row r="19">
      <c r="A19" s="4" t="inlineStr">
        <is>
          <t>Tax</t>
        </is>
      </c>
      <c r="B19" s="27">
        <f>Inputs!$B$17</f>
        <v/>
      </c>
      <c r="C19" s="27">
        <f>Inputs!$B$17</f>
        <v/>
      </c>
      <c r="D19" s="27">
        <f>Inputs!$B$17</f>
        <v/>
      </c>
      <c r="E19" s="27">
        <f>Inputs!$B$17</f>
        <v/>
      </c>
      <c r="F19" s="27">
        <f>Inputs!$B$17</f>
        <v/>
      </c>
      <c r="G19" s="27">
        <f>Inputs!$B$17</f>
        <v/>
      </c>
      <c r="H19" s="27">
        <f>Inputs!$B$17</f>
        <v/>
      </c>
      <c r="I19" s="27">
        <f>Inputs!$B$17</f>
        <v/>
      </c>
      <c r="J19" s="27">
        <f>Inputs!$B$17</f>
        <v/>
      </c>
      <c r="K19" s="27">
        <f>Inputs!$B$17</f>
        <v/>
      </c>
      <c r="L19" s="3" t="n"/>
      <c r="M19" s="3" t="n"/>
    </row>
    <row r="20">
      <c r="A20" s="4" t="inlineStr">
        <is>
          <t>NOPAT</t>
        </is>
      </c>
      <c r="B20" s="3">
        <f>B18*(1-B19)</f>
        <v/>
      </c>
      <c r="C20" s="3">
        <f>C18*(1-C19)</f>
        <v/>
      </c>
      <c r="D20" s="3">
        <f>D18*(1-D19)</f>
        <v/>
      </c>
      <c r="E20" s="3">
        <f>E18*(1-E19)</f>
        <v/>
      </c>
      <c r="F20" s="3">
        <f>F18*(1-F19)</f>
        <v/>
      </c>
      <c r="G20" s="3">
        <f>G18*(1-G19)</f>
        <v/>
      </c>
      <c r="H20" s="3">
        <f>H18*(1-H19)</f>
        <v/>
      </c>
      <c r="I20" s="3">
        <f>I18*(1-I19)</f>
        <v/>
      </c>
      <c r="J20" s="3">
        <f>J18*(1-J19)</f>
        <v/>
      </c>
      <c r="K20" s="3">
        <f>K18*(1-K19)</f>
        <v/>
      </c>
      <c r="L20" s="3" t="n"/>
      <c r="M20" s="3" t="n"/>
    </row>
    <row r="21">
      <c r="A21" s="4" t="inlineStr">
        <is>
          <t>ROIC</t>
        </is>
      </c>
      <c r="B21" s="27">
        <f>MAX(Inputs!$B$20+$B$10,Inputs!$B$21+$B$10-(Inputs!$B$21-Inputs!$B$20)*0/9)</f>
        <v/>
      </c>
      <c r="C21" s="27">
        <f>MAX(Inputs!$B$20+$B$10,Inputs!$B$21+$B$10-(Inputs!$B$21-Inputs!$B$20)*1/9)</f>
        <v/>
      </c>
      <c r="D21" s="27">
        <f>MAX(Inputs!$B$20+$B$10,Inputs!$B$21+$B$10-(Inputs!$B$21-Inputs!$B$20)*2/9)</f>
        <v/>
      </c>
      <c r="E21" s="27">
        <f>MAX(Inputs!$B$20+$B$10,Inputs!$B$21+$B$10-(Inputs!$B$21-Inputs!$B$20)*3/9)</f>
        <v/>
      </c>
      <c r="F21" s="27">
        <f>MAX(Inputs!$B$20+$B$10,Inputs!$B$21+$B$10-(Inputs!$B$21-Inputs!$B$20)*4/9)</f>
        <v/>
      </c>
      <c r="G21" s="27">
        <f>MAX(Inputs!$B$20+$B$10,Inputs!$B$21+$B$10-(Inputs!$B$21-Inputs!$B$20)*5/9)</f>
        <v/>
      </c>
      <c r="H21" s="27">
        <f>MAX(Inputs!$B$20+$B$10,Inputs!$B$21+$B$10-(Inputs!$B$21-Inputs!$B$20)*6/9)</f>
        <v/>
      </c>
      <c r="I21" s="27">
        <f>MAX(Inputs!$B$20+$B$10,Inputs!$B$21+$B$10-(Inputs!$B$21-Inputs!$B$20)*7/9)</f>
        <v/>
      </c>
      <c r="J21" s="27">
        <f>MAX(Inputs!$B$20+$B$10,Inputs!$B$21+$B$10-(Inputs!$B$21-Inputs!$B$20)*8/9)</f>
        <v/>
      </c>
      <c r="K21" s="27">
        <f>MAX(Inputs!$B$20+$B$10,Inputs!$B$21+$B$10-(Inputs!$B$21-Inputs!$B$20)*9/9)</f>
        <v/>
      </c>
      <c r="L21" s="3" t="n"/>
      <c r="M21" s="3" t="n"/>
    </row>
    <row r="22">
      <c r="A22" s="4" t="inlineStr">
        <is>
          <t>Reinvestment Rate</t>
        </is>
      </c>
      <c r="B22" s="27">
        <f>B16/B21</f>
        <v/>
      </c>
      <c r="C22" s="27">
        <f>C16/C21</f>
        <v/>
      </c>
      <c r="D22" s="27">
        <f>D16/D21</f>
        <v/>
      </c>
      <c r="E22" s="27">
        <f>E16/E21</f>
        <v/>
      </c>
      <c r="F22" s="27">
        <f>F16/F21</f>
        <v/>
      </c>
      <c r="G22" s="27">
        <f>G16/G21</f>
        <v/>
      </c>
      <c r="H22" s="27">
        <f>H16/H21</f>
        <v/>
      </c>
      <c r="I22" s="27">
        <f>I16/I21</f>
        <v/>
      </c>
      <c r="J22" s="27">
        <f>J16/J21</f>
        <v/>
      </c>
      <c r="K22" s="27">
        <f>K16/K21</f>
        <v/>
      </c>
      <c r="L22" s="3" t="n"/>
      <c r="M22" s="3" t="n"/>
    </row>
    <row r="23">
      <c r="A23" s="4" t="inlineStr">
        <is>
          <t>Reinvestment</t>
        </is>
      </c>
      <c r="B23" s="3">
        <f>B20*B22</f>
        <v/>
      </c>
      <c r="C23" s="3">
        <f>C20*C22</f>
        <v/>
      </c>
      <c r="D23" s="3">
        <f>D20*D22</f>
        <v/>
      </c>
      <c r="E23" s="3">
        <f>E20*E22</f>
        <v/>
      </c>
      <c r="F23" s="3">
        <f>F20*F22</f>
        <v/>
      </c>
      <c r="G23" s="3">
        <f>G20*G22</f>
        <v/>
      </c>
      <c r="H23" s="3">
        <f>H20*H22</f>
        <v/>
      </c>
      <c r="I23" s="3">
        <f>I20*I22</f>
        <v/>
      </c>
      <c r="J23" s="3">
        <f>J20*J22</f>
        <v/>
      </c>
      <c r="K23" s="3">
        <f>K20*K22</f>
        <v/>
      </c>
      <c r="L23" s="3" t="n"/>
      <c r="M23" s="3" t="n"/>
    </row>
    <row r="24">
      <c r="A24" s="4" t="inlineStr">
        <is>
          <t>FCFF</t>
        </is>
      </c>
      <c r="B24" s="3">
        <f>B20-B23</f>
        <v/>
      </c>
      <c r="C24" s="3">
        <f>C20-C23</f>
        <v/>
      </c>
      <c r="D24" s="3">
        <f>D20-D23</f>
        <v/>
      </c>
      <c r="E24" s="3">
        <f>E20-E23</f>
        <v/>
      </c>
      <c r="F24" s="3">
        <f>F20-F23</f>
        <v/>
      </c>
      <c r="G24" s="3">
        <f>G20-G23</f>
        <v/>
      </c>
      <c r="H24" s="3">
        <f>H20-H23</f>
        <v/>
      </c>
      <c r="I24" s="3">
        <f>I20-I23</f>
        <v/>
      </c>
      <c r="J24" s="3">
        <f>J20-J23</f>
        <v/>
      </c>
      <c r="K24" s="3">
        <f>K20-K23</f>
        <v/>
      </c>
      <c r="L24" s="3" t="n"/>
      <c r="M24" s="3" t="n"/>
    </row>
    <row r="25">
      <c r="A25" s="4" t="inlineStr">
        <is>
          <t>Discount Factor</t>
        </is>
      </c>
      <c r="B25" s="27">
        <f>1/(1+$B$11)^1</f>
        <v/>
      </c>
      <c r="C25" s="27">
        <f>1/(1+$B$11)^2</f>
        <v/>
      </c>
      <c r="D25" s="27">
        <f>1/(1+$B$11)^3</f>
        <v/>
      </c>
      <c r="E25" s="27">
        <f>1/(1+$B$11)^4</f>
        <v/>
      </c>
      <c r="F25" s="27">
        <f>1/(1+$B$11)^5</f>
        <v/>
      </c>
      <c r="G25" s="27">
        <f>1/(1+$B$11)^6</f>
        <v/>
      </c>
      <c r="H25" s="27">
        <f>1/(1+$B$11)^7</f>
        <v/>
      </c>
      <c r="I25" s="27">
        <f>1/(1+$B$11)^8</f>
        <v/>
      </c>
      <c r="J25" s="27">
        <f>1/(1+$B$11)^9</f>
        <v/>
      </c>
      <c r="K25" s="27">
        <f>1/(1+$B$11)^10</f>
        <v/>
      </c>
      <c r="L25" s="3" t="n"/>
      <c r="M25" s="3" t="n"/>
    </row>
    <row r="26">
      <c r="A26" s="4" t="inlineStr">
        <is>
          <t>PV of FCFF</t>
        </is>
      </c>
      <c r="B26" s="3">
        <f>B24*B25</f>
        <v/>
      </c>
      <c r="C26" s="3">
        <f>C24*C25</f>
        <v/>
      </c>
      <c r="D26" s="3">
        <f>D24*D25</f>
        <v/>
      </c>
      <c r="E26" s="3">
        <f>E24*E25</f>
        <v/>
      </c>
      <c r="F26" s="3">
        <f>F24*F25</f>
        <v/>
      </c>
      <c r="G26" s="3">
        <f>G24*G25</f>
        <v/>
      </c>
      <c r="H26" s="3">
        <f>H24*H25</f>
        <v/>
      </c>
      <c r="I26" s="3">
        <f>I24*I25</f>
        <v/>
      </c>
      <c r="J26" s="3">
        <f>J24*J25</f>
        <v/>
      </c>
      <c r="K26" s="3">
        <f>K24*K25</f>
        <v/>
      </c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0" t="inlineStr">
        <is>
          <t>Terminal Value &amp; Equity Value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</row>
    <row r="30">
      <c r="A30" s="3" t="inlineStr">
        <is>
          <t>Terminal growth</t>
        </is>
      </c>
      <c r="B30" s="26">
        <f>$B$12</f>
        <v/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inlineStr">
        <is>
          <t>Terminal ROIC</t>
        </is>
      </c>
      <c r="B31" s="26">
        <f>Inputs!$B$20+$B$10</f>
        <v/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inlineStr">
        <is>
          <t>Terminal reinvestment rate</t>
        </is>
      </c>
      <c r="B32" s="26">
        <f>B30/B31</f>
        <v/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inlineStr">
        <is>
          <t>Terminal FCFF</t>
        </is>
      </c>
      <c r="B33" s="7">
        <f>K20*(1+B30)*(1-B32)</f>
        <v/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inlineStr">
        <is>
          <t>Terminal value</t>
        </is>
      </c>
      <c r="B34" s="7">
        <f>B33/($B$11-B30)</f>
        <v/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inlineStr">
        <is>
          <t>PV of explicit FCFF</t>
        </is>
      </c>
      <c r="B35" s="7">
        <f>SUM(B26:K26)</f>
        <v/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inlineStr">
        <is>
          <t>PV of terminal value</t>
        </is>
      </c>
      <c r="B36" s="7">
        <f>B34/(1+$B$11)^10</f>
        <v/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inlineStr">
        <is>
          <t>Enterprise value</t>
        </is>
      </c>
      <c r="B37" s="7">
        <f>B35+B36</f>
        <v/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inlineStr">
        <is>
          <t>Less net debt</t>
        </is>
      </c>
      <c r="B38" s="7">
        <f>Inputs!$B$8</f>
        <v/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inlineStr">
        <is>
          <t>Equity value</t>
        </is>
      </c>
      <c r="B39" s="7">
        <f>B37-B38</f>
        <v/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inlineStr">
        <is>
          <t>Diluted shares</t>
        </is>
      </c>
      <c r="B40" s="7">
        <f>Inputs!$B$5</f>
        <v/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inlineStr">
        <is>
          <t>Intrinsic value / share</t>
        </is>
      </c>
      <c r="B41" s="28">
        <f>B39/B40</f>
        <v/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inlineStr">
        <is>
          <t>Terminal value / EV</t>
        </is>
      </c>
      <c r="B42" s="26">
        <f>B36/B37</f>
        <v/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</sheetData>
  <mergeCells count="4">
    <mergeCell ref="A3:M3"/>
    <mergeCell ref="A13:M13"/>
    <mergeCell ref="A1:M1"/>
    <mergeCell ref="A29:M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9" t="inlineStr">
        <is>
          <t>FCFF DCF — Base Scenario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30" t="inlineStr">
        <is>
          <t>Base Scenario Assumptions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</row>
    <row r="4">
      <c r="A4" s="3" t="inlineStr">
        <is>
          <t>Scenario</t>
        </is>
      </c>
      <c r="B4" s="7">
        <f>Scenarios!A7</f>
        <v/>
      </c>
      <c r="C4" s="3" t="n"/>
      <c r="D4" s="10" t="inlineStr">
        <is>
          <t>Each scenario has its own complete 10-year DCF sheet. Adjustments pull from the matching row on the Scenarios sheet. Edit yellow cells on Inputs and Scenarios; green cells are formulas/links.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inlineStr">
        <is>
          <t>Probability</t>
        </is>
      </c>
      <c r="B5" s="26">
        <f>Scenarios!B7</f>
        <v/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inlineStr">
        <is>
          <t>Growth adjustment</t>
        </is>
      </c>
      <c r="B6" s="26">
        <f>Scenarios!C7</f>
        <v/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inlineStr">
        <is>
          <t>Margin adjustment</t>
        </is>
      </c>
      <c r="B7" s="26">
        <f>Scenarios!D7</f>
        <v/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inlineStr">
        <is>
          <t>WACC adjustment</t>
        </is>
      </c>
      <c r="B8" s="26">
        <f>Scenarios!E7</f>
        <v/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inlineStr">
        <is>
          <t>Terminal g adjustment</t>
        </is>
      </c>
      <c r="B9" s="26">
        <f>Scenarios!F7</f>
        <v/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inlineStr">
        <is>
          <t>ROIC adjustment</t>
        </is>
      </c>
      <c r="B10" s="26">
        <f>Scenarios!G7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inlineStr">
        <is>
          <t>Effective WACC</t>
        </is>
      </c>
      <c r="B11" s="26">
        <f>Inputs!$B$18+$B$8</f>
        <v/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inlineStr">
        <is>
          <t>Effective terminal growth</t>
        </is>
      </c>
      <c r="B12" s="26">
        <f>Inputs!$B$19+$B$9</f>
        <v/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0" t="inlineStr">
        <is>
          <t>10-Year Forecast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>
      <c r="A14" s="11" t="inlineStr">
        <is>
          <t>Metric</t>
        </is>
      </c>
      <c r="B14" s="11" t="inlineStr">
        <is>
          <t>Y1</t>
        </is>
      </c>
      <c r="C14" s="11" t="inlineStr">
        <is>
          <t>Y2</t>
        </is>
      </c>
      <c r="D14" s="11" t="inlineStr">
        <is>
          <t>Y3</t>
        </is>
      </c>
      <c r="E14" s="11" t="inlineStr">
        <is>
          <t>Y4</t>
        </is>
      </c>
      <c r="F14" s="11" t="inlineStr">
        <is>
          <t>Y5</t>
        </is>
      </c>
      <c r="G14" s="11" t="inlineStr">
        <is>
          <t>Y6</t>
        </is>
      </c>
      <c r="H14" s="11" t="inlineStr">
        <is>
          <t>Y7</t>
        </is>
      </c>
      <c r="I14" s="11" t="inlineStr">
        <is>
          <t>Y8</t>
        </is>
      </c>
      <c r="J14" s="11" t="inlineStr">
        <is>
          <t>Y9</t>
        </is>
      </c>
      <c r="K14" s="11" t="inlineStr">
        <is>
          <t>Y10</t>
        </is>
      </c>
      <c r="L14" s="3" t="n"/>
      <c r="M14" s="3" t="n"/>
    </row>
    <row r="15">
      <c r="A15" s="4" t="inlineStr">
        <is>
          <t>Revenue</t>
        </is>
      </c>
      <c r="B15" s="3">
        <f>Inputs!$B$9*(1+MAX(Inputs!$B$13+($B$6),Inputs!$B$23))</f>
        <v/>
      </c>
      <c r="C15" s="3">
        <f>B15*(1+MAX(B16-Inputs!$B$14,Inputs!$B$23))</f>
        <v/>
      </c>
      <c r="D15" s="3">
        <f>C15*(1+MAX(C16-Inputs!$B$14,Inputs!$B$23))</f>
        <v/>
      </c>
      <c r="E15" s="3">
        <f>D15*(1+MAX(D16-Inputs!$B$14,Inputs!$B$23))</f>
        <v/>
      </c>
      <c r="F15" s="3">
        <f>E15*(1+MAX(E16-Inputs!$B$14,Inputs!$B$23))</f>
        <v/>
      </c>
      <c r="G15" s="3">
        <f>F15*(1+MAX(F16-Inputs!$B$14,Inputs!$B$23))</f>
        <v/>
      </c>
      <c r="H15" s="3">
        <f>G15*(1+MAX(G16-Inputs!$B$14,Inputs!$B$23))</f>
        <v/>
      </c>
      <c r="I15" s="3">
        <f>H15*(1+MAX(H16-Inputs!$B$14,Inputs!$B$23))</f>
        <v/>
      </c>
      <c r="J15" s="3">
        <f>I15*(1+MAX(I16-Inputs!$B$14,Inputs!$B$23))</f>
        <v/>
      </c>
      <c r="K15" s="3">
        <f>J15*(1+MAX(J16-Inputs!$B$14,Inputs!$B$23))</f>
        <v/>
      </c>
      <c r="L15" s="3" t="n"/>
      <c r="M15" s="3" t="n"/>
    </row>
    <row r="16">
      <c r="A16" s="4" t="inlineStr">
        <is>
          <t>Growth</t>
        </is>
      </c>
      <c r="B16" s="27">
        <f>B15/Inputs!$B$9-1</f>
        <v/>
      </c>
      <c r="C16" s="27">
        <f>MAX(B16-Inputs!$B$14,Inputs!$B$23)</f>
        <v/>
      </c>
      <c r="D16" s="27">
        <f>MAX(C16-Inputs!$B$14,Inputs!$B$23)</f>
        <v/>
      </c>
      <c r="E16" s="27">
        <f>MAX(D16-Inputs!$B$14,Inputs!$B$23)</f>
        <v/>
      </c>
      <c r="F16" s="27">
        <f>MAX(E16-Inputs!$B$14,Inputs!$B$23)</f>
        <v/>
      </c>
      <c r="G16" s="27">
        <f>MAX(F16-Inputs!$B$14,Inputs!$B$23)</f>
        <v/>
      </c>
      <c r="H16" s="27">
        <f>MAX(G16-Inputs!$B$14,Inputs!$B$23)</f>
        <v/>
      </c>
      <c r="I16" s="27">
        <f>MAX(H16-Inputs!$B$14,Inputs!$B$23)</f>
        <v/>
      </c>
      <c r="J16" s="27">
        <f>MAX(I16-Inputs!$B$14,Inputs!$B$23)</f>
        <v/>
      </c>
      <c r="K16" s="27">
        <f>MAX(J16-Inputs!$B$14,Inputs!$B$23)</f>
        <v/>
      </c>
      <c r="L16" s="3" t="n"/>
      <c r="M16" s="3" t="n"/>
    </row>
    <row r="17">
      <c r="A17" s="4" t="inlineStr">
        <is>
          <t>EBIT Margin</t>
        </is>
      </c>
      <c r="B17" s="27">
        <f>MIN(Inputs!$B$16+$B$7,Inputs!$B$15+$B$7+Inputs!$B$22*0)</f>
        <v/>
      </c>
      <c r="C17" s="27">
        <f>MIN(Inputs!$B$16+$B$7,Inputs!$B$15+$B$7+Inputs!$B$22*1)</f>
        <v/>
      </c>
      <c r="D17" s="27">
        <f>MIN(Inputs!$B$16+$B$7,Inputs!$B$15+$B$7+Inputs!$B$22*2)</f>
        <v/>
      </c>
      <c r="E17" s="27">
        <f>MIN(Inputs!$B$16+$B$7,Inputs!$B$15+$B$7+Inputs!$B$22*3)</f>
        <v/>
      </c>
      <c r="F17" s="27">
        <f>MIN(Inputs!$B$16+$B$7,Inputs!$B$15+$B$7+Inputs!$B$22*4)</f>
        <v/>
      </c>
      <c r="G17" s="27">
        <f>MIN(Inputs!$B$16+$B$7,Inputs!$B$15+$B$7+Inputs!$B$22*5)</f>
        <v/>
      </c>
      <c r="H17" s="27">
        <f>MIN(Inputs!$B$16+$B$7,Inputs!$B$15+$B$7+Inputs!$B$22*6)</f>
        <v/>
      </c>
      <c r="I17" s="27">
        <f>MIN(Inputs!$B$16+$B$7,Inputs!$B$15+$B$7+Inputs!$B$22*7)</f>
        <v/>
      </c>
      <c r="J17" s="27">
        <f>MIN(Inputs!$B$16+$B$7,Inputs!$B$15+$B$7+Inputs!$B$22*8)</f>
        <v/>
      </c>
      <c r="K17" s="27">
        <f>MIN(Inputs!$B$16+$B$7,Inputs!$B$15+$B$7+Inputs!$B$22*9)</f>
        <v/>
      </c>
      <c r="L17" s="3" t="n"/>
      <c r="M17" s="3" t="n"/>
    </row>
    <row r="18">
      <c r="A18" s="4" t="inlineStr">
        <is>
          <t>EBIT</t>
        </is>
      </c>
      <c r="B18" s="3">
        <f>B15*B17</f>
        <v/>
      </c>
      <c r="C18" s="3">
        <f>C15*C17</f>
        <v/>
      </c>
      <c r="D18" s="3">
        <f>D15*D17</f>
        <v/>
      </c>
      <c r="E18" s="3">
        <f>E15*E17</f>
        <v/>
      </c>
      <c r="F18" s="3">
        <f>F15*F17</f>
        <v/>
      </c>
      <c r="G18" s="3">
        <f>G15*G17</f>
        <v/>
      </c>
      <c r="H18" s="3">
        <f>H15*H17</f>
        <v/>
      </c>
      <c r="I18" s="3">
        <f>I15*I17</f>
        <v/>
      </c>
      <c r="J18" s="3">
        <f>J15*J17</f>
        <v/>
      </c>
      <c r="K18" s="3">
        <f>K15*K17</f>
        <v/>
      </c>
      <c r="L18" s="3" t="n"/>
      <c r="M18" s="3" t="n"/>
    </row>
    <row r="19">
      <c r="A19" s="4" t="inlineStr">
        <is>
          <t>Tax</t>
        </is>
      </c>
      <c r="B19" s="27">
        <f>Inputs!$B$17</f>
        <v/>
      </c>
      <c r="C19" s="27">
        <f>Inputs!$B$17</f>
        <v/>
      </c>
      <c r="D19" s="27">
        <f>Inputs!$B$17</f>
        <v/>
      </c>
      <c r="E19" s="27">
        <f>Inputs!$B$17</f>
        <v/>
      </c>
      <c r="F19" s="27">
        <f>Inputs!$B$17</f>
        <v/>
      </c>
      <c r="G19" s="27">
        <f>Inputs!$B$17</f>
        <v/>
      </c>
      <c r="H19" s="27">
        <f>Inputs!$B$17</f>
        <v/>
      </c>
      <c r="I19" s="27">
        <f>Inputs!$B$17</f>
        <v/>
      </c>
      <c r="J19" s="27">
        <f>Inputs!$B$17</f>
        <v/>
      </c>
      <c r="K19" s="27">
        <f>Inputs!$B$17</f>
        <v/>
      </c>
      <c r="L19" s="3" t="n"/>
      <c r="M19" s="3" t="n"/>
    </row>
    <row r="20">
      <c r="A20" s="4" t="inlineStr">
        <is>
          <t>NOPAT</t>
        </is>
      </c>
      <c r="B20" s="3">
        <f>B18*(1-B19)</f>
        <v/>
      </c>
      <c r="C20" s="3">
        <f>C18*(1-C19)</f>
        <v/>
      </c>
      <c r="D20" s="3">
        <f>D18*(1-D19)</f>
        <v/>
      </c>
      <c r="E20" s="3">
        <f>E18*(1-E19)</f>
        <v/>
      </c>
      <c r="F20" s="3">
        <f>F18*(1-F19)</f>
        <v/>
      </c>
      <c r="G20" s="3">
        <f>G18*(1-G19)</f>
        <v/>
      </c>
      <c r="H20" s="3">
        <f>H18*(1-H19)</f>
        <v/>
      </c>
      <c r="I20" s="3">
        <f>I18*(1-I19)</f>
        <v/>
      </c>
      <c r="J20" s="3">
        <f>J18*(1-J19)</f>
        <v/>
      </c>
      <c r="K20" s="3">
        <f>K18*(1-K19)</f>
        <v/>
      </c>
      <c r="L20" s="3" t="n"/>
      <c r="M20" s="3" t="n"/>
    </row>
    <row r="21">
      <c r="A21" s="4" t="inlineStr">
        <is>
          <t>ROIC</t>
        </is>
      </c>
      <c r="B21" s="27">
        <f>MAX(Inputs!$B$20+$B$10,Inputs!$B$21+$B$10-(Inputs!$B$21-Inputs!$B$20)*0/9)</f>
        <v/>
      </c>
      <c r="C21" s="27">
        <f>MAX(Inputs!$B$20+$B$10,Inputs!$B$21+$B$10-(Inputs!$B$21-Inputs!$B$20)*1/9)</f>
        <v/>
      </c>
      <c r="D21" s="27">
        <f>MAX(Inputs!$B$20+$B$10,Inputs!$B$21+$B$10-(Inputs!$B$21-Inputs!$B$20)*2/9)</f>
        <v/>
      </c>
      <c r="E21" s="27">
        <f>MAX(Inputs!$B$20+$B$10,Inputs!$B$21+$B$10-(Inputs!$B$21-Inputs!$B$20)*3/9)</f>
        <v/>
      </c>
      <c r="F21" s="27">
        <f>MAX(Inputs!$B$20+$B$10,Inputs!$B$21+$B$10-(Inputs!$B$21-Inputs!$B$20)*4/9)</f>
        <v/>
      </c>
      <c r="G21" s="27">
        <f>MAX(Inputs!$B$20+$B$10,Inputs!$B$21+$B$10-(Inputs!$B$21-Inputs!$B$20)*5/9)</f>
        <v/>
      </c>
      <c r="H21" s="27">
        <f>MAX(Inputs!$B$20+$B$10,Inputs!$B$21+$B$10-(Inputs!$B$21-Inputs!$B$20)*6/9)</f>
        <v/>
      </c>
      <c r="I21" s="27">
        <f>MAX(Inputs!$B$20+$B$10,Inputs!$B$21+$B$10-(Inputs!$B$21-Inputs!$B$20)*7/9)</f>
        <v/>
      </c>
      <c r="J21" s="27">
        <f>MAX(Inputs!$B$20+$B$10,Inputs!$B$21+$B$10-(Inputs!$B$21-Inputs!$B$20)*8/9)</f>
        <v/>
      </c>
      <c r="K21" s="27">
        <f>MAX(Inputs!$B$20+$B$10,Inputs!$B$21+$B$10-(Inputs!$B$21-Inputs!$B$20)*9/9)</f>
        <v/>
      </c>
      <c r="L21" s="3" t="n"/>
      <c r="M21" s="3" t="n"/>
    </row>
    <row r="22">
      <c r="A22" s="4" t="inlineStr">
        <is>
          <t>Reinvestment Rate</t>
        </is>
      </c>
      <c r="B22" s="27">
        <f>B16/B21</f>
        <v/>
      </c>
      <c r="C22" s="27">
        <f>C16/C21</f>
        <v/>
      </c>
      <c r="D22" s="27">
        <f>D16/D21</f>
        <v/>
      </c>
      <c r="E22" s="27">
        <f>E16/E21</f>
        <v/>
      </c>
      <c r="F22" s="27">
        <f>F16/F21</f>
        <v/>
      </c>
      <c r="G22" s="27">
        <f>G16/G21</f>
        <v/>
      </c>
      <c r="H22" s="27">
        <f>H16/H21</f>
        <v/>
      </c>
      <c r="I22" s="27">
        <f>I16/I21</f>
        <v/>
      </c>
      <c r="J22" s="27">
        <f>J16/J21</f>
        <v/>
      </c>
      <c r="K22" s="27">
        <f>K16/K21</f>
        <v/>
      </c>
      <c r="L22" s="3" t="n"/>
      <c r="M22" s="3" t="n"/>
    </row>
    <row r="23">
      <c r="A23" s="4" t="inlineStr">
        <is>
          <t>Reinvestment</t>
        </is>
      </c>
      <c r="B23" s="3">
        <f>B20*B22</f>
        <v/>
      </c>
      <c r="C23" s="3">
        <f>C20*C22</f>
        <v/>
      </c>
      <c r="D23" s="3">
        <f>D20*D22</f>
        <v/>
      </c>
      <c r="E23" s="3">
        <f>E20*E22</f>
        <v/>
      </c>
      <c r="F23" s="3">
        <f>F20*F22</f>
        <v/>
      </c>
      <c r="G23" s="3">
        <f>G20*G22</f>
        <v/>
      </c>
      <c r="H23" s="3">
        <f>H20*H22</f>
        <v/>
      </c>
      <c r="I23" s="3">
        <f>I20*I22</f>
        <v/>
      </c>
      <c r="J23" s="3">
        <f>J20*J22</f>
        <v/>
      </c>
      <c r="K23" s="3">
        <f>K20*K22</f>
        <v/>
      </c>
      <c r="L23" s="3" t="n"/>
      <c r="M23" s="3" t="n"/>
    </row>
    <row r="24">
      <c r="A24" s="4" t="inlineStr">
        <is>
          <t>FCFF</t>
        </is>
      </c>
      <c r="B24" s="3">
        <f>B20-B23</f>
        <v/>
      </c>
      <c r="C24" s="3">
        <f>C20-C23</f>
        <v/>
      </c>
      <c r="D24" s="3">
        <f>D20-D23</f>
        <v/>
      </c>
      <c r="E24" s="3">
        <f>E20-E23</f>
        <v/>
      </c>
      <c r="F24" s="3">
        <f>F20-F23</f>
        <v/>
      </c>
      <c r="G24" s="3">
        <f>G20-G23</f>
        <v/>
      </c>
      <c r="H24" s="3">
        <f>H20-H23</f>
        <v/>
      </c>
      <c r="I24" s="3">
        <f>I20-I23</f>
        <v/>
      </c>
      <c r="J24" s="3">
        <f>J20-J23</f>
        <v/>
      </c>
      <c r="K24" s="3">
        <f>K20-K23</f>
        <v/>
      </c>
      <c r="L24" s="3" t="n"/>
      <c r="M24" s="3" t="n"/>
    </row>
    <row r="25">
      <c r="A25" s="4" t="inlineStr">
        <is>
          <t>Discount Factor</t>
        </is>
      </c>
      <c r="B25" s="27">
        <f>1/(1+$B$11)^1</f>
        <v/>
      </c>
      <c r="C25" s="27">
        <f>1/(1+$B$11)^2</f>
        <v/>
      </c>
      <c r="D25" s="27">
        <f>1/(1+$B$11)^3</f>
        <v/>
      </c>
      <c r="E25" s="27">
        <f>1/(1+$B$11)^4</f>
        <v/>
      </c>
      <c r="F25" s="27">
        <f>1/(1+$B$11)^5</f>
        <v/>
      </c>
      <c r="G25" s="27">
        <f>1/(1+$B$11)^6</f>
        <v/>
      </c>
      <c r="H25" s="27">
        <f>1/(1+$B$11)^7</f>
        <v/>
      </c>
      <c r="I25" s="27">
        <f>1/(1+$B$11)^8</f>
        <v/>
      </c>
      <c r="J25" s="27">
        <f>1/(1+$B$11)^9</f>
        <v/>
      </c>
      <c r="K25" s="27">
        <f>1/(1+$B$11)^10</f>
        <v/>
      </c>
      <c r="L25" s="3" t="n"/>
      <c r="M25" s="3" t="n"/>
    </row>
    <row r="26">
      <c r="A26" s="4" t="inlineStr">
        <is>
          <t>PV of FCFF</t>
        </is>
      </c>
      <c r="B26" s="3">
        <f>B24*B25</f>
        <v/>
      </c>
      <c r="C26" s="3">
        <f>C24*C25</f>
        <v/>
      </c>
      <c r="D26" s="3">
        <f>D24*D25</f>
        <v/>
      </c>
      <c r="E26" s="3">
        <f>E24*E25</f>
        <v/>
      </c>
      <c r="F26" s="3">
        <f>F24*F25</f>
        <v/>
      </c>
      <c r="G26" s="3">
        <f>G24*G25</f>
        <v/>
      </c>
      <c r="H26" s="3">
        <f>H24*H25</f>
        <v/>
      </c>
      <c r="I26" s="3">
        <f>I24*I25</f>
        <v/>
      </c>
      <c r="J26" s="3">
        <f>J24*J25</f>
        <v/>
      </c>
      <c r="K26" s="3">
        <f>K24*K25</f>
        <v/>
      </c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0" t="inlineStr">
        <is>
          <t>Terminal Value &amp; Equity Value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</row>
    <row r="30">
      <c r="A30" s="3" t="inlineStr">
        <is>
          <t>Terminal growth</t>
        </is>
      </c>
      <c r="B30" s="26">
        <f>$B$12</f>
        <v/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inlineStr">
        <is>
          <t>Terminal ROIC</t>
        </is>
      </c>
      <c r="B31" s="26">
        <f>Inputs!$B$20+$B$10</f>
        <v/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inlineStr">
        <is>
          <t>Terminal reinvestment rate</t>
        </is>
      </c>
      <c r="B32" s="26">
        <f>B30/B31</f>
        <v/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inlineStr">
        <is>
          <t>Terminal FCFF</t>
        </is>
      </c>
      <c r="B33" s="7">
        <f>K20*(1+B30)*(1-B32)</f>
        <v/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inlineStr">
        <is>
          <t>Terminal value</t>
        </is>
      </c>
      <c r="B34" s="7">
        <f>B33/($B$11-B30)</f>
        <v/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inlineStr">
        <is>
          <t>PV of explicit FCFF</t>
        </is>
      </c>
      <c r="B35" s="7">
        <f>SUM(B26:K26)</f>
        <v/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inlineStr">
        <is>
          <t>PV of terminal value</t>
        </is>
      </c>
      <c r="B36" s="7">
        <f>B34/(1+$B$11)^10</f>
        <v/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inlineStr">
        <is>
          <t>Enterprise value</t>
        </is>
      </c>
      <c r="B37" s="7">
        <f>B35+B36</f>
        <v/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inlineStr">
        <is>
          <t>Less net debt</t>
        </is>
      </c>
      <c r="B38" s="7">
        <f>Inputs!$B$8</f>
        <v/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inlineStr">
        <is>
          <t>Equity value</t>
        </is>
      </c>
      <c r="B39" s="7">
        <f>B37-B38</f>
        <v/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inlineStr">
        <is>
          <t>Diluted shares</t>
        </is>
      </c>
      <c r="B40" s="7">
        <f>Inputs!$B$5</f>
        <v/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inlineStr">
        <is>
          <t>Intrinsic value / share</t>
        </is>
      </c>
      <c r="B41" s="28">
        <f>B39/B40</f>
        <v/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inlineStr">
        <is>
          <t>Terminal value / EV</t>
        </is>
      </c>
      <c r="B42" s="26">
        <f>B36/B37</f>
        <v/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</sheetData>
  <mergeCells count="4">
    <mergeCell ref="A3:M3"/>
    <mergeCell ref="A13:M13"/>
    <mergeCell ref="A1:M1"/>
    <mergeCell ref="A29:M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9" t="inlineStr">
        <is>
          <t>FCFF DCF — Bull Scenario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30" t="inlineStr">
        <is>
          <t>Bull Scenario Assumptions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</row>
    <row r="4">
      <c r="A4" s="3" t="inlineStr">
        <is>
          <t>Scenario</t>
        </is>
      </c>
      <c r="B4" s="7">
        <f>Scenarios!A8</f>
        <v/>
      </c>
      <c r="C4" s="3" t="n"/>
      <c r="D4" s="10" t="inlineStr">
        <is>
          <t>Each scenario has its own complete 10-year DCF sheet. Adjustments pull from the matching row on the Scenarios sheet. Edit yellow cells on Inputs and Scenarios; green cells are formulas/links.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inlineStr">
        <is>
          <t>Probability</t>
        </is>
      </c>
      <c r="B5" s="26">
        <f>Scenarios!B8</f>
        <v/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inlineStr">
        <is>
          <t>Growth adjustment</t>
        </is>
      </c>
      <c r="B6" s="26">
        <f>Scenarios!C8</f>
        <v/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inlineStr">
        <is>
          <t>Margin adjustment</t>
        </is>
      </c>
      <c r="B7" s="26">
        <f>Scenarios!D8</f>
        <v/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inlineStr">
        <is>
          <t>WACC adjustment</t>
        </is>
      </c>
      <c r="B8" s="26">
        <f>Scenarios!E8</f>
        <v/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inlineStr">
        <is>
          <t>Terminal g adjustment</t>
        </is>
      </c>
      <c r="B9" s="26">
        <f>Scenarios!F8</f>
        <v/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inlineStr">
        <is>
          <t>ROIC adjustment</t>
        </is>
      </c>
      <c r="B10" s="26">
        <f>Scenarios!G8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inlineStr">
        <is>
          <t>Effective WACC</t>
        </is>
      </c>
      <c r="B11" s="26">
        <f>Inputs!$B$18+$B$8</f>
        <v/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inlineStr">
        <is>
          <t>Effective terminal growth</t>
        </is>
      </c>
      <c r="B12" s="26">
        <f>Inputs!$B$19+$B$9</f>
        <v/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0" t="inlineStr">
        <is>
          <t>10-Year Forecast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>
      <c r="A14" s="11" t="inlineStr">
        <is>
          <t>Metric</t>
        </is>
      </c>
      <c r="B14" s="11" t="inlineStr">
        <is>
          <t>Y1</t>
        </is>
      </c>
      <c r="C14" s="11" t="inlineStr">
        <is>
          <t>Y2</t>
        </is>
      </c>
      <c r="D14" s="11" t="inlineStr">
        <is>
          <t>Y3</t>
        </is>
      </c>
      <c r="E14" s="11" t="inlineStr">
        <is>
          <t>Y4</t>
        </is>
      </c>
      <c r="F14" s="11" t="inlineStr">
        <is>
          <t>Y5</t>
        </is>
      </c>
      <c r="G14" s="11" t="inlineStr">
        <is>
          <t>Y6</t>
        </is>
      </c>
      <c r="H14" s="11" t="inlineStr">
        <is>
          <t>Y7</t>
        </is>
      </c>
      <c r="I14" s="11" t="inlineStr">
        <is>
          <t>Y8</t>
        </is>
      </c>
      <c r="J14" s="11" t="inlineStr">
        <is>
          <t>Y9</t>
        </is>
      </c>
      <c r="K14" s="11" t="inlineStr">
        <is>
          <t>Y10</t>
        </is>
      </c>
      <c r="L14" s="3" t="n"/>
      <c r="M14" s="3" t="n"/>
    </row>
    <row r="15">
      <c r="A15" s="4" t="inlineStr">
        <is>
          <t>Revenue</t>
        </is>
      </c>
      <c r="B15" s="3">
        <f>Inputs!$B$9*(1+MAX(Inputs!$B$13+($B$6),Inputs!$B$23))</f>
        <v/>
      </c>
      <c r="C15" s="3">
        <f>B15*(1+MAX(B16-Inputs!$B$14,Inputs!$B$23))</f>
        <v/>
      </c>
      <c r="D15" s="3">
        <f>C15*(1+MAX(C16-Inputs!$B$14,Inputs!$B$23))</f>
        <v/>
      </c>
      <c r="E15" s="3">
        <f>D15*(1+MAX(D16-Inputs!$B$14,Inputs!$B$23))</f>
        <v/>
      </c>
      <c r="F15" s="3">
        <f>E15*(1+MAX(E16-Inputs!$B$14,Inputs!$B$23))</f>
        <v/>
      </c>
      <c r="G15" s="3">
        <f>F15*(1+MAX(F16-Inputs!$B$14,Inputs!$B$23))</f>
        <v/>
      </c>
      <c r="H15" s="3">
        <f>G15*(1+MAX(G16-Inputs!$B$14,Inputs!$B$23))</f>
        <v/>
      </c>
      <c r="I15" s="3">
        <f>H15*(1+MAX(H16-Inputs!$B$14,Inputs!$B$23))</f>
        <v/>
      </c>
      <c r="J15" s="3">
        <f>I15*(1+MAX(I16-Inputs!$B$14,Inputs!$B$23))</f>
        <v/>
      </c>
      <c r="K15" s="3">
        <f>J15*(1+MAX(J16-Inputs!$B$14,Inputs!$B$23))</f>
        <v/>
      </c>
      <c r="L15" s="3" t="n"/>
      <c r="M15" s="3" t="n"/>
    </row>
    <row r="16">
      <c r="A16" s="4" t="inlineStr">
        <is>
          <t>Growth</t>
        </is>
      </c>
      <c r="B16" s="27">
        <f>B15/Inputs!$B$9-1</f>
        <v/>
      </c>
      <c r="C16" s="27">
        <f>MAX(B16-Inputs!$B$14,Inputs!$B$23)</f>
        <v/>
      </c>
      <c r="D16" s="27">
        <f>MAX(C16-Inputs!$B$14,Inputs!$B$23)</f>
        <v/>
      </c>
      <c r="E16" s="27">
        <f>MAX(D16-Inputs!$B$14,Inputs!$B$23)</f>
        <v/>
      </c>
      <c r="F16" s="27">
        <f>MAX(E16-Inputs!$B$14,Inputs!$B$23)</f>
        <v/>
      </c>
      <c r="G16" s="27">
        <f>MAX(F16-Inputs!$B$14,Inputs!$B$23)</f>
        <v/>
      </c>
      <c r="H16" s="27">
        <f>MAX(G16-Inputs!$B$14,Inputs!$B$23)</f>
        <v/>
      </c>
      <c r="I16" s="27">
        <f>MAX(H16-Inputs!$B$14,Inputs!$B$23)</f>
        <v/>
      </c>
      <c r="J16" s="27">
        <f>MAX(I16-Inputs!$B$14,Inputs!$B$23)</f>
        <v/>
      </c>
      <c r="K16" s="27">
        <f>MAX(J16-Inputs!$B$14,Inputs!$B$23)</f>
        <v/>
      </c>
      <c r="L16" s="3" t="n"/>
      <c r="M16" s="3" t="n"/>
    </row>
    <row r="17">
      <c r="A17" s="4" t="inlineStr">
        <is>
          <t>EBIT Margin</t>
        </is>
      </c>
      <c r="B17" s="27">
        <f>MIN(Inputs!$B$16+$B$7,Inputs!$B$15+$B$7+Inputs!$B$22*0)</f>
        <v/>
      </c>
      <c r="C17" s="27">
        <f>MIN(Inputs!$B$16+$B$7,Inputs!$B$15+$B$7+Inputs!$B$22*1)</f>
        <v/>
      </c>
      <c r="D17" s="27">
        <f>MIN(Inputs!$B$16+$B$7,Inputs!$B$15+$B$7+Inputs!$B$22*2)</f>
        <v/>
      </c>
      <c r="E17" s="27">
        <f>MIN(Inputs!$B$16+$B$7,Inputs!$B$15+$B$7+Inputs!$B$22*3)</f>
        <v/>
      </c>
      <c r="F17" s="27">
        <f>MIN(Inputs!$B$16+$B$7,Inputs!$B$15+$B$7+Inputs!$B$22*4)</f>
        <v/>
      </c>
      <c r="G17" s="27">
        <f>MIN(Inputs!$B$16+$B$7,Inputs!$B$15+$B$7+Inputs!$B$22*5)</f>
        <v/>
      </c>
      <c r="H17" s="27">
        <f>MIN(Inputs!$B$16+$B$7,Inputs!$B$15+$B$7+Inputs!$B$22*6)</f>
        <v/>
      </c>
      <c r="I17" s="27">
        <f>MIN(Inputs!$B$16+$B$7,Inputs!$B$15+$B$7+Inputs!$B$22*7)</f>
        <v/>
      </c>
      <c r="J17" s="27">
        <f>MIN(Inputs!$B$16+$B$7,Inputs!$B$15+$B$7+Inputs!$B$22*8)</f>
        <v/>
      </c>
      <c r="K17" s="27">
        <f>MIN(Inputs!$B$16+$B$7,Inputs!$B$15+$B$7+Inputs!$B$22*9)</f>
        <v/>
      </c>
      <c r="L17" s="3" t="n"/>
      <c r="M17" s="3" t="n"/>
    </row>
    <row r="18">
      <c r="A18" s="4" t="inlineStr">
        <is>
          <t>EBIT</t>
        </is>
      </c>
      <c r="B18" s="3">
        <f>B15*B17</f>
        <v/>
      </c>
      <c r="C18" s="3">
        <f>C15*C17</f>
        <v/>
      </c>
      <c r="D18" s="3">
        <f>D15*D17</f>
        <v/>
      </c>
      <c r="E18" s="3">
        <f>E15*E17</f>
        <v/>
      </c>
      <c r="F18" s="3">
        <f>F15*F17</f>
        <v/>
      </c>
      <c r="G18" s="3">
        <f>G15*G17</f>
        <v/>
      </c>
      <c r="H18" s="3">
        <f>H15*H17</f>
        <v/>
      </c>
      <c r="I18" s="3">
        <f>I15*I17</f>
        <v/>
      </c>
      <c r="J18" s="3">
        <f>J15*J17</f>
        <v/>
      </c>
      <c r="K18" s="3">
        <f>K15*K17</f>
        <v/>
      </c>
      <c r="L18" s="3" t="n"/>
      <c r="M18" s="3" t="n"/>
    </row>
    <row r="19">
      <c r="A19" s="4" t="inlineStr">
        <is>
          <t>Tax</t>
        </is>
      </c>
      <c r="B19" s="27">
        <f>Inputs!$B$17</f>
        <v/>
      </c>
      <c r="C19" s="27">
        <f>Inputs!$B$17</f>
        <v/>
      </c>
      <c r="D19" s="27">
        <f>Inputs!$B$17</f>
        <v/>
      </c>
      <c r="E19" s="27">
        <f>Inputs!$B$17</f>
        <v/>
      </c>
      <c r="F19" s="27">
        <f>Inputs!$B$17</f>
        <v/>
      </c>
      <c r="G19" s="27">
        <f>Inputs!$B$17</f>
        <v/>
      </c>
      <c r="H19" s="27">
        <f>Inputs!$B$17</f>
        <v/>
      </c>
      <c r="I19" s="27">
        <f>Inputs!$B$17</f>
        <v/>
      </c>
      <c r="J19" s="27">
        <f>Inputs!$B$17</f>
        <v/>
      </c>
      <c r="K19" s="27">
        <f>Inputs!$B$17</f>
        <v/>
      </c>
      <c r="L19" s="3" t="n"/>
      <c r="M19" s="3" t="n"/>
    </row>
    <row r="20">
      <c r="A20" s="4" t="inlineStr">
        <is>
          <t>NOPAT</t>
        </is>
      </c>
      <c r="B20" s="3">
        <f>B18*(1-B19)</f>
        <v/>
      </c>
      <c r="C20" s="3">
        <f>C18*(1-C19)</f>
        <v/>
      </c>
      <c r="D20" s="3">
        <f>D18*(1-D19)</f>
        <v/>
      </c>
      <c r="E20" s="3">
        <f>E18*(1-E19)</f>
        <v/>
      </c>
      <c r="F20" s="3">
        <f>F18*(1-F19)</f>
        <v/>
      </c>
      <c r="G20" s="3">
        <f>G18*(1-G19)</f>
        <v/>
      </c>
      <c r="H20" s="3">
        <f>H18*(1-H19)</f>
        <v/>
      </c>
      <c r="I20" s="3">
        <f>I18*(1-I19)</f>
        <v/>
      </c>
      <c r="J20" s="3">
        <f>J18*(1-J19)</f>
        <v/>
      </c>
      <c r="K20" s="3">
        <f>K18*(1-K19)</f>
        <v/>
      </c>
      <c r="L20" s="3" t="n"/>
      <c r="M20" s="3" t="n"/>
    </row>
    <row r="21">
      <c r="A21" s="4" t="inlineStr">
        <is>
          <t>ROIC</t>
        </is>
      </c>
      <c r="B21" s="27">
        <f>MAX(Inputs!$B$20+$B$10,Inputs!$B$21+$B$10-(Inputs!$B$21-Inputs!$B$20)*0/9)</f>
        <v/>
      </c>
      <c r="C21" s="27">
        <f>MAX(Inputs!$B$20+$B$10,Inputs!$B$21+$B$10-(Inputs!$B$21-Inputs!$B$20)*1/9)</f>
        <v/>
      </c>
      <c r="D21" s="27">
        <f>MAX(Inputs!$B$20+$B$10,Inputs!$B$21+$B$10-(Inputs!$B$21-Inputs!$B$20)*2/9)</f>
        <v/>
      </c>
      <c r="E21" s="27">
        <f>MAX(Inputs!$B$20+$B$10,Inputs!$B$21+$B$10-(Inputs!$B$21-Inputs!$B$20)*3/9)</f>
        <v/>
      </c>
      <c r="F21" s="27">
        <f>MAX(Inputs!$B$20+$B$10,Inputs!$B$21+$B$10-(Inputs!$B$21-Inputs!$B$20)*4/9)</f>
        <v/>
      </c>
      <c r="G21" s="27">
        <f>MAX(Inputs!$B$20+$B$10,Inputs!$B$21+$B$10-(Inputs!$B$21-Inputs!$B$20)*5/9)</f>
        <v/>
      </c>
      <c r="H21" s="27">
        <f>MAX(Inputs!$B$20+$B$10,Inputs!$B$21+$B$10-(Inputs!$B$21-Inputs!$B$20)*6/9)</f>
        <v/>
      </c>
      <c r="I21" s="27">
        <f>MAX(Inputs!$B$20+$B$10,Inputs!$B$21+$B$10-(Inputs!$B$21-Inputs!$B$20)*7/9)</f>
        <v/>
      </c>
      <c r="J21" s="27">
        <f>MAX(Inputs!$B$20+$B$10,Inputs!$B$21+$B$10-(Inputs!$B$21-Inputs!$B$20)*8/9)</f>
        <v/>
      </c>
      <c r="K21" s="27">
        <f>MAX(Inputs!$B$20+$B$10,Inputs!$B$21+$B$10-(Inputs!$B$21-Inputs!$B$20)*9/9)</f>
        <v/>
      </c>
      <c r="L21" s="3" t="n"/>
      <c r="M21" s="3" t="n"/>
    </row>
    <row r="22">
      <c r="A22" s="4" t="inlineStr">
        <is>
          <t>Reinvestment Rate</t>
        </is>
      </c>
      <c r="B22" s="27">
        <f>B16/B21</f>
        <v/>
      </c>
      <c r="C22" s="27">
        <f>C16/C21</f>
        <v/>
      </c>
      <c r="D22" s="27">
        <f>D16/D21</f>
        <v/>
      </c>
      <c r="E22" s="27">
        <f>E16/E21</f>
        <v/>
      </c>
      <c r="F22" s="27">
        <f>F16/F21</f>
        <v/>
      </c>
      <c r="G22" s="27">
        <f>G16/G21</f>
        <v/>
      </c>
      <c r="H22" s="27">
        <f>H16/H21</f>
        <v/>
      </c>
      <c r="I22" s="27">
        <f>I16/I21</f>
        <v/>
      </c>
      <c r="J22" s="27">
        <f>J16/J21</f>
        <v/>
      </c>
      <c r="K22" s="27">
        <f>K16/K21</f>
        <v/>
      </c>
      <c r="L22" s="3" t="n"/>
      <c r="M22" s="3" t="n"/>
    </row>
    <row r="23">
      <c r="A23" s="4" t="inlineStr">
        <is>
          <t>Reinvestment</t>
        </is>
      </c>
      <c r="B23" s="3">
        <f>B20*B22</f>
        <v/>
      </c>
      <c r="C23" s="3">
        <f>C20*C22</f>
        <v/>
      </c>
      <c r="D23" s="3">
        <f>D20*D22</f>
        <v/>
      </c>
      <c r="E23" s="3">
        <f>E20*E22</f>
        <v/>
      </c>
      <c r="F23" s="3">
        <f>F20*F22</f>
        <v/>
      </c>
      <c r="G23" s="3">
        <f>G20*G22</f>
        <v/>
      </c>
      <c r="H23" s="3">
        <f>H20*H22</f>
        <v/>
      </c>
      <c r="I23" s="3">
        <f>I20*I22</f>
        <v/>
      </c>
      <c r="J23" s="3">
        <f>J20*J22</f>
        <v/>
      </c>
      <c r="K23" s="3">
        <f>K20*K22</f>
        <v/>
      </c>
      <c r="L23" s="3" t="n"/>
      <c r="M23" s="3" t="n"/>
    </row>
    <row r="24">
      <c r="A24" s="4" t="inlineStr">
        <is>
          <t>FCFF</t>
        </is>
      </c>
      <c r="B24" s="3">
        <f>B20-B23</f>
        <v/>
      </c>
      <c r="C24" s="3">
        <f>C20-C23</f>
        <v/>
      </c>
      <c r="D24" s="3">
        <f>D20-D23</f>
        <v/>
      </c>
      <c r="E24" s="3">
        <f>E20-E23</f>
        <v/>
      </c>
      <c r="F24" s="3">
        <f>F20-F23</f>
        <v/>
      </c>
      <c r="G24" s="3">
        <f>G20-G23</f>
        <v/>
      </c>
      <c r="H24" s="3">
        <f>H20-H23</f>
        <v/>
      </c>
      <c r="I24" s="3">
        <f>I20-I23</f>
        <v/>
      </c>
      <c r="J24" s="3">
        <f>J20-J23</f>
        <v/>
      </c>
      <c r="K24" s="3">
        <f>K20-K23</f>
        <v/>
      </c>
      <c r="L24" s="3" t="n"/>
      <c r="M24" s="3" t="n"/>
    </row>
    <row r="25">
      <c r="A25" s="4" t="inlineStr">
        <is>
          <t>Discount Factor</t>
        </is>
      </c>
      <c r="B25" s="27">
        <f>1/(1+$B$11)^1</f>
        <v/>
      </c>
      <c r="C25" s="27">
        <f>1/(1+$B$11)^2</f>
        <v/>
      </c>
      <c r="D25" s="27">
        <f>1/(1+$B$11)^3</f>
        <v/>
      </c>
      <c r="E25" s="27">
        <f>1/(1+$B$11)^4</f>
        <v/>
      </c>
      <c r="F25" s="27">
        <f>1/(1+$B$11)^5</f>
        <v/>
      </c>
      <c r="G25" s="27">
        <f>1/(1+$B$11)^6</f>
        <v/>
      </c>
      <c r="H25" s="27">
        <f>1/(1+$B$11)^7</f>
        <v/>
      </c>
      <c r="I25" s="27">
        <f>1/(1+$B$11)^8</f>
        <v/>
      </c>
      <c r="J25" s="27">
        <f>1/(1+$B$11)^9</f>
        <v/>
      </c>
      <c r="K25" s="27">
        <f>1/(1+$B$11)^10</f>
        <v/>
      </c>
      <c r="L25" s="3" t="n"/>
      <c r="M25" s="3" t="n"/>
    </row>
    <row r="26">
      <c r="A26" s="4" t="inlineStr">
        <is>
          <t>PV of FCFF</t>
        </is>
      </c>
      <c r="B26" s="3">
        <f>B24*B25</f>
        <v/>
      </c>
      <c r="C26" s="3">
        <f>C24*C25</f>
        <v/>
      </c>
      <c r="D26" s="3">
        <f>D24*D25</f>
        <v/>
      </c>
      <c r="E26" s="3">
        <f>E24*E25</f>
        <v/>
      </c>
      <c r="F26" s="3">
        <f>F24*F25</f>
        <v/>
      </c>
      <c r="G26" s="3">
        <f>G24*G25</f>
        <v/>
      </c>
      <c r="H26" s="3">
        <f>H24*H25</f>
        <v/>
      </c>
      <c r="I26" s="3">
        <f>I24*I25</f>
        <v/>
      </c>
      <c r="J26" s="3">
        <f>J24*J25</f>
        <v/>
      </c>
      <c r="K26" s="3">
        <f>K24*K25</f>
        <v/>
      </c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0" t="inlineStr">
        <is>
          <t>Terminal Value &amp; Equity Value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</row>
    <row r="30">
      <c r="A30" s="3" t="inlineStr">
        <is>
          <t>Terminal growth</t>
        </is>
      </c>
      <c r="B30" s="26">
        <f>$B$12</f>
        <v/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inlineStr">
        <is>
          <t>Terminal ROIC</t>
        </is>
      </c>
      <c r="B31" s="26">
        <f>Inputs!$B$20+$B$10</f>
        <v/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inlineStr">
        <is>
          <t>Terminal reinvestment rate</t>
        </is>
      </c>
      <c r="B32" s="26">
        <f>B30/B31</f>
        <v/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inlineStr">
        <is>
          <t>Terminal FCFF</t>
        </is>
      </c>
      <c r="B33" s="7">
        <f>K20*(1+B30)*(1-B32)</f>
        <v/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inlineStr">
        <is>
          <t>Terminal value</t>
        </is>
      </c>
      <c r="B34" s="7">
        <f>B33/($B$11-B30)</f>
        <v/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inlineStr">
        <is>
          <t>PV of explicit FCFF</t>
        </is>
      </c>
      <c r="B35" s="7">
        <f>SUM(B26:K26)</f>
        <v/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inlineStr">
        <is>
          <t>PV of terminal value</t>
        </is>
      </c>
      <c r="B36" s="7">
        <f>B34/(1+$B$11)^10</f>
        <v/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inlineStr">
        <is>
          <t>Enterprise value</t>
        </is>
      </c>
      <c r="B37" s="7">
        <f>B35+B36</f>
        <v/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inlineStr">
        <is>
          <t>Less net debt</t>
        </is>
      </c>
      <c r="B38" s="7">
        <f>Inputs!$B$8</f>
        <v/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inlineStr">
        <is>
          <t>Equity value</t>
        </is>
      </c>
      <c r="B39" s="7">
        <f>B37-B38</f>
        <v/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inlineStr">
        <is>
          <t>Diluted shares</t>
        </is>
      </c>
      <c r="B40" s="7">
        <f>Inputs!$B$5</f>
        <v/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inlineStr">
        <is>
          <t>Intrinsic value / share</t>
        </is>
      </c>
      <c r="B41" s="28">
        <f>B39/B40</f>
        <v/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inlineStr">
        <is>
          <t>Terminal value / EV</t>
        </is>
      </c>
      <c r="B42" s="26">
        <f>B36/B37</f>
        <v/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</sheetData>
  <mergeCells count="4">
    <mergeCell ref="A3:M3"/>
    <mergeCell ref="A13:M13"/>
    <mergeCell ref="A1:M1"/>
    <mergeCell ref="A29:M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9" t="inlineStr">
        <is>
          <t>FCFF DCF — Extreme Bull Scenario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30" t="inlineStr">
        <is>
          <t>Extreme Bull Scenario Assumptions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</row>
    <row r="4">
      <c r="A4" s="3" t="inlineStr">
        <is>
          <t>Scenario</t>
        </is>
      </c>
      <c r="B4" s="7">
        <f>Scenarios!A9</f>
        <v/>
      </c>
      <c r="C4" s="3" t="n"/>
      <c r="D4" s="10" t="inlineStr">
        <is>
          <t>Each scenario has its own complete 10-year DCF sheet. Adjustments pull from the matching row on the Scenarios sheet. Edit yellow cells on Inputs and Scenarios; green cells are formulas/links.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inlineStr">
        <is>
          <t>Probability</t>
        </is>
      </c>
      <c r="B5" s="26">
        <f>Scenarios!B9</f>
        <v/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inlineStr">
        <is>
          <t>Growth adjustment</t>
        </is>
      </c>
      <c r="B6" s="26">
        <f>Scenarios!C9</f>
        <v/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inlineStr">
        <is>
          <t>Margin adjustment</t>
        </is>
      </c>
      <c r="B7" s="26">
        <f>Scenarios!D9</f>
        <v/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inlineStr">
        <is>
          <t>WACC adjustment</t>
        </is>
      </c>
      <c r="B8" s="26">
        <f>Scenarios!E9</f>
        <v/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inlineStr">
        <is>
          <t>Terminal g adjustment</t>
        </is>
      </c>
      <c r="B9" s="26">
        <f>Scenarios!F9</f>
        <v/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inlineStr">
        <is>
          <t>ROIC adjustment</t>
        </is>
      </c>
      <c r="B10" s="26">
        <f>Scenarios!G9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inlineStr">
        <is>
          <t>Effective WACC</t>
        </is>
      </c>
      <c r="B11" s="26">
        <f>Inputs!$B$18+$B$8</f>
        <v/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inlineStr">
        <is>
          <t>Effective terminal growth</t>
        </is>
      </c>
      <c r="B12" s="26">
        <f>Inputs!$B$19+$B$9</f>
        <v/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0" t="inlineStr">
        <is>
          <t>10-Year Forecast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>
      <c r="A14" s="11" t="inlineStr">
        <is>
          <t>Metric</t>
        </is>
      </c>
      <c r="B14" s="11" t="inlineStr">
        <is>
          <t>Y1</t>
        </is>
      </c>
      <c r="C14" s="11" t="inlineStr">
        <is>
          <t>Y2</t>
        </is>
      </c>
      <c r="D14" s="11" t="inlineStr">
        <is>
          <t>Y3</t>
        </is>
      </c>
      <c r="E14" s="11" t="inlineStr">
        <is>
          <t>Y4</t>
        </is>
      </c>
      <c r="F14" s="11" t="inlineStr">
        <is>
          <t>Y5</t>
        </is>
      </c>
      <c r="G14" s="11" t="inlineStr">
        <is>
          <t>Y6</t>
        </is>
      </c>
      <c r="H14" s="11" t="inlineStr">
        <is>
          <t>Y7</t>
        </is>
      </c>
      <c r="I14" s="11" t="inlineStr">
        <is>
          <t>Y8</t>
        </is>
      </c>
      <c r="J14" s="11" t="inlineStr">
        <is>
          <t>Y9</t>
        </is>
      </c>
      <c r="K14" s="11" t="inlineStr">
        <is>
          <t>Y10</t>
        </is>
      </c>
      <c r="L14" s="3" t="n"/>
      <c r="M14" s="3" t="n"/>
    </row>
    <row r="15">
      <c r="A15" s="4" t="inlineStr">
        <is>
          <t>Revenue</t>
        </is>
      </c>
      <c r="B15" s="3">
        <f>Inputs!$B$9*(1+MAX(Inputs!$B$13+($B$6),Inputs!$B$23))</f>
        <v/>
      </c>
      <c r="C15" s="3">
        <f>B15*(1+MAX(B16-Inputs!$B$14,Inputs!$B$23))</f>
        <v/>
      </c>
      <c r="D15" s="3">
        <f>C15*(1+MAX(C16-Inputs!$B$14,Inputs!$B$23))</f>
        <v/>
      </c>
      <c r="E15" s="3">
        <f>D15*(1+MAX(D16-Inputs!$B$14,Inputs!$B$23))</f>
        <v/>
      </c>
      <c r="F15" s="3">
        <f>E15*(1+MAX(E16-Inputs!$B$14,Inputs!$B$23))</f>
        <v/>
      </c>
      <c r="G15" s="3">
        <f>F15*(1+MAX(F16-Inputs!$B$14,Inputs!$B$23))</f>
        <v/>
      </c>
      <c r="H15" s="3">
        <f>G15*(1+MAX(G16-Inputs!$B$14,Inputs!$B$23))</f>
        <v/>
      </c>
      <c r="I15" s="3">
        <f>H15*(1+MAX(H16-Inputs!$B$14,Inputs!$B$23))</f>
        <v/>
      </c>
      <c r="J15" s="3">
        <f>I15*(1+MAX(I16-Inputs!$B$14,Inputs!$B$23))</f>
        <v/>
      </c>
      <c r="K15" s="3">
        <f>J15*(1+MAX(J16-Inputs!$B$14,Inputs!$B$23))</f>
        <v/>
      </c>
      <c r="L15" s="3" t="n"/>
      <c r="M15" s="3" t="n"/>
    </row>
    <row r="16">
      <c r="A16" s="4" t="inlineStr">
        <is>
          <t>Growth</t>
        </is>
      </c>
      <c r="B16" s="27">
        <f>B15/Inputs!$B$9-1</f>
        <v/>
      </c>
      <c r="C16" s="27">
        <f>MAX(B16-Inputs!$B$14,Inputs!$B$23)</f>
        <v/>
      </c>
      <c r="D16" s="27">
        <f>MAX(C16-Inputs!$B$14,Inputs!$B$23)</f>
        <v/>
      </c>
      <c r="E16" s="27">
        <f>MAX(D16-Inputs!$B$14,Inputs!$B$23)</f>
        <v/>
      </c>
      <c r="F16" s="27">
        <f>MAX(E16-Inputs!$B$14,Inputs!$B$23)</f>
        <v/>
      </c>
      <c r="G16" s="27">
        <f>MAX(F16-Inputs!$B$14,Inputs!$B$23)</f>
        <v/>
      </c>
      <c r="H16" s="27">
        <f>MAX(G16-Inputs!$B$14,Inputs!$B$23)</f>
        <v/>
      </c>
      <c r="I16" s="27">
        <f>MAX(H16-Inputs!$B$14,Inputs!$B$23)</f>
        <v/>
      </c>
      <c r="J16" s="27">
        <f>MAX(I16-Inputs!$B$14,Inputs!$B$23)</f>
        <v/>
      </c>
      <c r="K16" s="27">
        <f>MAX(J16-Inputs!$B$14,Inputs!$B$23)</f>
        <v/>
      </c>
      <c r="L16" s="3" t="n"/>
      <c r="M16" s="3" t="n"/>
    </row>
    <row r="17">
      <c r="A17" s="4" t="inlineStr">
        <is>
          <t>EBIT Margin</t>
        </is>
      </c>
      <c r="B17" s="27">
        <f>MIN(Inputs!$B$16+$B$7,Inputs!$B$15+$B$7+Inputs!$B$22*0)</f>
        <v/>
      </c>
      <c r="C17" s="27">
        <f>MIN(Inputs!$B$16+$B$7,Inputs!$B$15+$B$7+Inputs!$B$22*1)</f>
        <v/>
      </c>
      <c r="D17" s="27">
        <f>MIN(Inputs!$B$16+$B$7,Inputs!$B$15+$B$7+Inputs!$B$22*2)</f>
        <v/>
      </c>
      <c r="E17" s="27">
        <f>MIN(Inputs!$B$16+$B$7,Inputs!$B$15+$B$7+Inputs!$B$22*3)</f>
        <v/>
      </c>
      <c r="F17" s="27">
        <f>MIN(Inputs!$B$16+$B$7,Inputs!$B$15+$B$7+Inputs!$B$22*4)</f>
        <v/>
      </c>
      <c r="G17" s="27">
        <f>MIN(Inputs!$B$16+$B$7,Inputs!$B$15+$B$7+Inputs!$B$22*5)</f>
        <v/>
      </c>
      <c r="H17" s="27">
        <f>MIN(Inputs!$B$16+$B$7,Inputs!$B$15+$B$7+Inputs!$B$22*6)</f>
        <v/>
      </c>
      <c r="I17" s="27">
        <f>MIN(Inputs!$B$16+$B$7,Inputs!$B$15+$B$7+Inputs!$B$22*7)</f>
        <v/>
      </c>
      <c r="J17" s="27">
        <f>MIN(Inputs!$B$16+$B$7,Inputs!$B$15+$B$7+Inputs!$B$22*8)</f>
        <v/>
      </c>
      <c r="K17" s="27">
        <f>MIN(Inputs!$B$16+$B$7,Inputs!$B$15+$B$7+Inputs!$B$22*9)</f>
        <v/>
      </c>
      <c r="L17" s="3" t="n"/>
      <c r="M17" s="3" t="n"/>
    </row>
    <row r="18">
      <c r="A18" s="4" t="inlineStr">
        <is>
          <t>EBIT</t>
        </is>
      </c>
      <c r="B18" s="3">
        <f>B15*B17</f>
        <v/>
      </c>
      <c r="C18" s="3">
        <f>C15*C17</f>
        <v/>
      </c>
      <c r="D18" s="3">
        <f>D15*D17</f>
        <v/>
      </c>
      <c r="E18" s="3">
        <f>E15*E17</f>
        <v/>
      </c>
      <c r="F18" s="3">
        <f>F15*F17</f>
        <v/>
      </c>
      <c r="G18" s="3">
        <f>G15*G17</f>
        <v/>
      </c>
      <c r="H18" s="3">
        <f>H15*H17</f>
        <v/>
      </c>
      <c r="I18" s="3">
        <f>I15*I17</f>
        <v/>
      </c>
      <c r="J18" s="3">
        <f>J15*J17</f>
        <v/>
      </c>
      <c r="K18" s="3">
        <f>K15*K17</f>
        <v/>
      </c>
      <c r="L18" s="3" t="n"/>
      <c r="M18" s="3" t="n"/>
    </row>
    <row r="19">
      <c r="A19" s="4" t="inlineStr">
        <is>
          <t>Tax</t>
        </is>
      </c>
      <c r="B19" s="27">
        <f>Inputs!$B$17</f>
        <v/>
      </c>
      <c r="C19" s="27">
        <f>Inputs!$B$17</f>
        <v/>
      </c>
      <c r="D19" s="27">
        <f>Inputs!$B$17</f>
        <v/>
      </c>
      <c r="E19" s="27">
        <f>Inputs!$B$17</f>
        <v/>
      </c>
      <c r="F19" s="27">
        <f>Inputs!$B$17</f>
        <v/>
      </c>
      <c r="G19" s="27">
        <f>Inputs!$B$17</f>
        <v/>
      </c>
      <c r="H19" s="27">
        <f>Inputs!$B$17</f>
        <v/>
      </c>
      <c r="I19" s="27">
        <f>Inputs!$B$17</f>
        <v/>
      </c>
      <c r="J19" s="27">
        <f>Inputs!$B$17</f>
        <v/>
      </c>
      <c r="K19" s="27">
        <f>Inputs!$B$17</f>
        <v/>
      </c>
      <c r="L19" s="3" t="n"/>
      <c r="M19" s="3" t="n"/>
    </row>
    <row r="20">
      <c r="A20" s="4" t="inlineStr">
        <is>
          <t>NOPAT</t>
        </is>
      </c>
      <c r="B20" s="3">
        <f>B18*(1-B19)</f>
        <v/>
      </c>
      <c r="C20" s="3">
        <f>C18*(1-C19)</f>
        <v/>
      </c>
      <c r="D20" s="3">
        <f>D18*(1-D19)</f>
        <v/>
      </c>
      <c r="E20" s="3">
        <f>E18*(1-E19)</f>
        <v/>
      </c>
      <c r="F20" s="3">
        <f>F18*(1-F19)</f>
        <v/>
      </c>
      <c r="G20" s="3">
        <f>G18*(1-G19)</f>
        <v/>
      </c>
      <c r="H20" s="3">
        <f>H18*(1-H19)</f>
        <v/>
      </c>
      <c r="I20" s="3">
        <f>I18*(1-I19)</f>
        <v/>
      </c>
      <c r="J20" s="3">
        <f>J18*(1-J19)</f>
        <v/>
      </c>
      <c r="K20" s="3">
        <f>K18*(1-K19)</f>
        <v/>
      </c>
      <c r="L20" s="3" t="n"/>
      <c r="M20" s="3" t="n"/>
    </row>
    <row r="21">
      <c r="A21" s="4" t="inlineStr">
        <is>
          <t>ROIC</t>
        </is>
      </c>
      <c r="B21" s="27">
        <f>MAX(Inputs!$B$20+$B$10,Inputs!$B$21+$B$10-(Inputs!$B$21-Inputs!$B$20)*0/9)</f>
        <v/>
      </c>
      <c r="C21" s="27">
        <f>MAX(Inputs!$B$20+$B$10,Inputs!$B$21+$B$10-(Inputs!$B$21-Inputs!$B$20)*1/9)</f>
        <v/>
      </c>
      <c r="D21" s="27">
        <f>MAX(Inputs!$B$20+$B$10,Inputs!$B$21+$B$10-(Inputs!$B$21-Inputs!$B$20)*2/9)</f>
        <v/>
      </c>
      <c r="E21" s="27">
        <f>MAX(Inputs!$B$20+$B$10,Inputs!$B$21+$B$10-(Inputs!$B$21-Inputs!$B$20)*3/9)</f>
        <v/>
      </c>
      <c r="F21" s="27">
        <f>MAX(Inputs!$B$20+$B$10,Inputs!$B$21+$B$10-(Inputs!$B$21-Inputs!$B$20)*4/9)</f>
        <v/>
      </c>
      <c r="G21" s="27">
        <f>MAX(Inputs!$B$20+$B$10,Inputs!$B$21+$B$10-(Inputs!$B$21-Inputs!$B$20)*5/9)</f>
        <v/>
      </c>
      <c r="H21" s="27">
        <f>MAX(Inputs!$B$20+$B$10,Inputs!$B$21+$B$10-(Inputs!$B$21-Inputs!$B$20)*6/9)</f>
        <v/>
      </c>
      <c r="I21" s="27">
        <f>MAX(Inputs!$B$20+$B$10,Inputs!$B$21+$B$10-(Inputs!$B$21-Inputs!$B$20)*7/9)</f>
        <v/>
      </c>
      <c r="J21" s="27">
        <f>MAX(Inputs!$B$20+$B$10,Inputs!$B$21+$B$10-(Inputs!$B$21-Inputs!$B$20)*8/9)</f>
        <v/>
      </c>
      <c r="K21" s="27">
        <f>MAX(Inputs!$B$20+$B$10,Inputs!$B$21+$B$10-(Inputs!$B$21-Inputs!$B$20)*9/9)</f>
        <v/>
      </c>
      <c r="L21" s="3" t="n"/>
      <c r="M21" s="3" t="n"/>
    </row>
    <row r="22">
      <c r="A22" s="4" t="inlineStr">
        <is>
          <t>Reinvestment Rate</t>
        </is>
      </c>
      <c r="B22" s="27">
        <f>B16/B21</f>
        <v/>
      </c>
      <c r="C22" s="27">
        <f>C16/C21</f>
        <v/>
      </c>
      <c r="D22" s="27">
        <f>D16/D21</f>
        <v/>
      </c>
      <c r="E22" s="27">
        <f>E16/E21</f>
        <v/>
      </c>
      <c r="F22" s="27">
        <f>F16/F21</f>
        <v/>
      </c>
      <c r="G22" s="27">
        <f>G16/G21</f>
        <v/>
      </c>
      <c r="H22" s="27">
        <f>H16/H21</f>
        <v/>
      </c>
      <c r="I22" s="27">
        <f>I16/I21</f>
        <v/>
      </c>
      <c r="J22" s="27">
        <f>J16/J21</f>
        <v/>
      </c>
      <c r="K22" s="27">
        <f>K16/K21</f>
        <v/>
      </c>
      <c r="L22" s="3" t="n"/>
      <c r="M22" s="3" t="n"/>
    </row>
    <row r="23">
      <c r="A23" s="4" t="inlineStr">
        <is>
          <t>Reinvestment</t>
        </is>
      </c>
      <c r="B23" s="3">
        <f>B20*B22</f>
        <v/>
      </c>
      <c r="C23" s="3">
        <f>C20*C22</f>
        <v/>
      </c>
      <c r="D23" s="3">
        <f>D20*D22</f>
        <v/>
      </c>
      <c r="E23" s="3">
        <f>E20*E22</f>
        <v/>
      </c>
      <c r="F23" s="3">
        <f>F20*F22</f>
        <v/>
      </c>
      <c r="G23" s="3">
        <f>G20*G22</f>
        <v/>
      </c>
      <c r="H23" s="3">
        <f>H20*H22</f>
        <v/>
      </c>
      <c r="I23" s="3">
        <f>I20*I22</f>
        <v/>
      </c>
      <c r="J23" s="3">
        <f>J20*J22</f>
        <v/>
      </c>
      <c r="K23" s="3">
        <f>K20*K22</f>
        <v/>
      </c>
      <c r="L23" s="3" t="n"/>
      <c r="M23" s="3" t="n"/>
    </row>
    <row r="24">
      <c r="A24" s="4" t="inlineStr">
        <is>
          <t>FCFF</t>
        </is>
      </c>
      <c r="B24" s="3">
        <f>B20-B23</f>
        <v/>
      </c>
      <c r="C24" s="3">
        <f>C20-C23</f>
        <v/>
      </c>
      <c r="D24" s="3">
        <f>D20-D23</f>
        <v/>
      </c>
      <c r="E24" s="3">
        <f>E20-E23</f>
        <v/>
      </c>
      <c r="F24" s="3">
        <f>F20-F23</f>
        <v/>
      </c>
      <c r="G24" s="3">
        <f>G20-G23</f>
        <v/>
      </c>
      <c r="H24" s="3">
        <f>H20-H23</f>
        <v/>
      </c>
      <c r="I24" s="3">
        <f>I20-I23</f>
        <v/>
      </c>
      <c r="J24" s="3">
        <f>J20-J23</f>
        <v/>
      </c>
      <c r="K24" s="3">
        <f>K20-K23</f>
        <v/>
      </c>
      <c r="L24" s="3" t="n"/>
      <c r="M24" s="3" t="n"/>
    </row>
    <row r="25">
      <c r="A25" s="4" t="inlineStr">
        <is>
          <t>Discount Factor</t>
        </is>
      </c>
      <c r="B25" s="27">
        <f>1/(1+$B$11)^1</f>
        <v/>
      </c>
      <c r="C25" s="27">
        <f>1/(1+$B$11)^2</f>
        <v/>
      </c>
      <c r="D25" s="27">
        <f>1/(1+$B$11)^3</f>
        <v/>
      </c>
      <c r="E25" s="27">
        <f>1/(1+$B$11)^4</f>
        <v/>
      </c>
      <c r="F25" s="27">
        <f>1/(1+$B$11)^5</f>
        <v/>
      </c>
      <c r="G25" s="27">
        <f>1/(1+$B$11)^6</f>
        <v/>
      </c>
      <c r="H25" s="27">
        <f>1/(1+$B$11)^7</f>
        <v/>
      </c>
      <c r="I25" s="27">
        <f>1/(1+$B$11)^8</f>
        <v/>
      </c>
      <c r="J25" s="27">
        <f>1/(1+$B$11)^9</f>
        <v/>
      </c>
      <c r="K25" s="27">
        <f>1/(1+$B$11)^10</f>
        <v/>
      </c>
      <c r="L25" s="3" t="n"/>
      <c r="M25" s="3" t="n"/>
    </row>
    <row r="26">
      <c r="A26" s="4" t="inlineStr">
        <is>
          <t>PV of FCFF</t>
        </is>
      </c>
      <c r="B26" s="3">
        <f>B24*B25</f>
        <v/>
      </c>
      <c r="C26" s="3">
        <f>C24*C25</f>
        <v/>
      </c>
      <c r="D26" s="3">
        <f>D24*D25</f>
        <v/>
      </c>
      <c r="E26" s="3">
        <f>E24*E25</f>
        <v/>
      </c>
      <c r="F26" s="3">
        <f>F24*F25</f>
        <v/>
      </c>
      <c r="G26" s="3">
        <f>G24*G25</f>
        <v/>
      </c>
      <c r="H26" s="3">
        <f>H24*H25</f>
        <v/>
      </c>
      <c r="I26" s="3">
        <f>I24*I25</f>
        <v/>
      </c>
      <c r="J26" s="3">
        <f>J24*J25</f>
        <v/>
      </c>
      <c r="K26" s="3">
        <f>K24*K25</f>
        <v/>
      </c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0" t="inlineStr">
        <is>
          <t>Terminal Value &amp; Equity Value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</row>
    <row r="30">
      <c r="A30" s="3" t="inlineStr">
        <is>
          <t>Terminal growth</t>
        </is>
      </c>
      <c r="B30" s="26">
        <f>$B$12</f>
        <v/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inlineStr">
        <is>
          <t>Terminal ROIC</t>
        </is>
      </c>
      <c r="B31" s="26">
        <f>Inputs!$B$20+$B$10</f>
        <v/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inlineStr">
        <is>
          <t>Terminal reinvestment rate</t>
        </is>
      </c>
      <c r="B32" s="26">
        <f>B30/B31</f>
        <v/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inlineStr">
        <is>
          <t>Terminal FCFF</t>
        </is>
      </c>
      <c r="B33" s="7">
        <f>K20*(1+B30)*(1-B32)</f>
        <v/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inlineStr">
        <is>
          <t>Terminal value</t>
        </is>
      </c>
      <c r="B34" s="7">
        <f>B33/($B$11-B30)</f>
        <v/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inlineStr">
        <is>
          <t>PV of explicit FCFF</t>
        </is>
      </c>
      <c r="B35" s="7">
        <f>SUM(B26:K26)</f>
        <v/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inlineStr">
        <is>
          <t>PV of terminal value</t>
        </is>
      </c>
      <c r="B36" s="7">
        <f>B34/(1+$B$11)^10</f>
        <v/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inlineStr">
        <is>
          <t>Enterprise value</t>
        </is>
      </c>
      <c r="B37" s="7">
        <f>B35+B36</f>
        <v/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inlineStr">
        <is>
          <t>Less net debt</t>
        </is>
      </c>
      <c r="B38" s="7">
        <f>Inputs!$B$8</f>
        <v/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inlineStr">
        <is>
          <t>Equity value</t>
        </is>
      </c>
      <c r="B39" s="7">
        <f>B37-B38</f>
        <v/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inlineStr">
        <is>
          <t>Diluted shares</t>
        </is>
      </c>
      <c r="B40" s="7">
        <f>Inputs!$B$5</f>
        <v/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inlineStr">
        <is>
          <t>Intrinsic value / share</t>
        </is>
      </c>
      <c r="B41" s="28">
        <f>B39/B40</f>
        <v/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inlineStr">
        <is>
          <t>Terminal value / EV</t>
        </is>
      </c>
      <c r="B42" s="26">
        <f>B36/B37</f>
        <v/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</sheetData>
  <mergeCells count="4">
    <mergeCell ref="A3:M3"/>
    <mergeCell ref="A13:M13"/>
    <mergeCell ref="A1:M1"/>
    <mergeCell ref="A29:M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5" customWidth="1" min="4" max="4"/>
    <col width="46" customWidth="1" min="5" max="5"/>
  </cols>
  <sheetData>
    <row r="1">
      <c r="A1" s="31" t="inlineStr">
        <is>
          <t>Probability-Weighted Scenario Valuation</t>
        </is>
      </c>
    </row>
    <row r="3">
      <c r="A3" s="31" t="inlineStr">
        <is>
          <t>Scenario Valuation Table</t>
        </is>
      </c>
    </row>
    <row r="4">
      <c r="A4" s="32" t="inlineStr">
        <is>
          <t>Scenario</t>
        </is>
      </c>
      <c r="B4" s="32" t="inlineStr">
        <is>
          <t>Probability</t>
        </is>
      </c>
      <c r="C4" s="32" t="inlineStr">
        <is>
          <t>Standalone Intrinsic Value/Share</t>
        </is>
      </c>
      <c r="D4" s="32" t="inlineStr">
        <is>
          <t>Probability × Value</t>
        </is>
      </c>
      <c r="E4" s="32" t="inlineStr">
        <is>
          <t>Key Case</t>
        </is>
      </c>
    </row>
    <row r="5">
      <c r="A5" s="24">
        <f>Scenarios!A5</f>
        <v/>
      </c>
      <c r="B5" s="33">
        <f>Scenarios!B5</f>
        <v/>
      </c>
      <c r="C5" s="34">
        <f>'DCF-SevereBear'!B41</f>
        <v/>
      </c>
      <c r="D5" s="35">
        <f>B5*C5</f>
        <v/>
      </c>
      <c r="E5" s="36">
        <f>Scenarios!H5</f>
        <v/>
      </c>
    </row>
    <row r="6">
      <c r="A6" s="24">
        <f>Scenarios!A6</f>
        <v/>
      </c>
      <c r="B6" s="33">
        <f>Scenarios!B6</f>
        <v/>
      </c>
      <c r="C6" s="34">
        <f>'DCF-Bear'!B41</f>
        <v/>
      </c>
      <c r="D6" s="35">
        <f>B6*C6</f>
        <v/>
      </c>
      <c r="E6" s="36">
        <f>Scenarios!H6</f>
        <v/>
      </c>
    </row>
    <row r="7">
      <c r="A7" s="24">
        <f>Scenarios!A7</f>
        <v/>
      </c>
      <c r="B7" s="33">
        <f>Scenarios!B7</f>
        <v/>
      </c>
      <c r="C7" s="34">
        <f>'DCF-Base'!B41</f>
        <v/>
      </c>
      <c r="D7" s="35">
        <f>B7*C7</f>
        <v/>
      </c>
      <c r="E7" s="36">
        <f>Scenarios!H7</f>
        <v/>
      </c>
    </row>
    <row r="8">
      <c r="A8" s="24">
        <f>Scenarios!A8</f>
        <v/>
      </c>
      <c r="B8" s="33">
        <f>Scenarios!B8</f>
        <v/>
      </c>
      <c r="C8" s="34">
        <f>'DCF-Bull'!B41</f>
        <v/>
      </c>
      <c r="D8" s="35">
        <f>B8*C8</f>
        <v/>
      </c>
      <c r="E8" s="36">
        <f>Scenarios!H8</f>
        <v/>
      </c>
    </row>
    <row r="9">
      <c r="A9" s="24">
        <f>Scenarios!A9</f>
        <v/>
      </c>
      <c r="B9" s="33">
        <f>Scenarios!B9</f>
        <v/>
      </c>
      <c r="C9" s="34">
        <f>'DCF-ExtremeBull'!B41</f>
        <v/>
      </c>
      <c r="D9" s="35">
        <f>B9*C9</f>
        <v/>
      </c>
      <c r="E9" s="36">
        <f>Scenarios!H9</f>
        <v/>
      </c>
    </row>
    <row r="10">
      <c r="A10" s="32" t="inlineStr">
        <is>
          <t>Total / Expected Value</t>
        </is>
      </c>
      <c r="B10" s="37">
        <f>SUM(B5:B9)</f>
        <v/>
      </c>
      <c r="C10" t="inlineStr">
        <is>
          <t>—</t>
        </is>
      </c>
      <c r="D10" s="38">
        <f>SUM(D5:D9)</f>
        <v/>
      </c>
    </row>
    <row r="12">
      <c r="A12" s="31" t="inlineStr">
        <is>
          <t>Outputs</t>
        </is>
      </c>
    </row>
    <row r="13">
      <c r="A13" t="inlineStr">
        <is>
          <t>Probability-weighted intrinsic value / share</t>
        </is>
      </c>
      <c r="B13" s="39">
        <f>D10</f>
        <v/>
      </c>
    </row>
    <row r="14">
      <c r="A14" t="inlineStr">
        <is>
          <t>Current market price / share</t>
        </is>
      </c>
      <c r="B14" s="39">
        <f>Inputs!B4</f>
        <v/>
      </c>
    </row>
    <row r="15">
      <c r="A15" t="inlineStr">
        <is>
          <t>Expected upside / downside</t>
        </is>
      </c>
      <c r="B15" s="40">
        <f>B13/B14-1</f>
        <v/>
      </c>
    </row>
    <row r="16">
      <c r="A16" t="inlineStr">
        <is>
          <t>Investment horizon (years)</t>
        </is>
      </c>
      <c r="B16" s="41" t="n">
        <v>5</v>
      </c>
    </row>
    <row r="17">
      <c r="A17" t="inlineStr">
        <is>
          <t>Expected annualized return</t>
        </is>
      </c>
      <c r="B17" s="40">
        <f>(B13/B14)^(1/B16)-1</f>
        <v/>
      </c>
    </row>
    <row r="19" ht="40" customHeight="1">
      <c r="A19" s="25" t="inlineStr">
        <is>
          <t>Each scenario has its own complete 10-year FCFF DCF sheet with its own revenue growth, EBIT margin, ROIC/reinvestment, WACC and terminal assumptions. This summary only pulls the five standalone DCF results and probability-weights them — the summary never feeds back into any DCF, so there are no circular references.</t>
        </is>
      </c>
    </row>
  </sheetData>
  <mergeCells count="1">
    <mergeCell ref="A19:H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Reverse DCF — Market-Implied Fundamentals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5" t="inlineStr">
        <is>
          <t>Market Inputs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</row>
    <row r="4">
      <c r="A4" s="3" t="inlineStr">
        <is>
          <t>Current price</t>
        </is>
      </c>
      <c r="B4" s="7">
        <f>Inputs!B4</f>
        <v/>
      </c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inlineStr">
        <is>
          <t>Diluted shares</t>
        </is>
      </c>
      <c r="B5" s="7">
        <f>Inputs!B5</f>
        <v/>
      </c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inlineStr">
        <is>
          <t>Equity market value</t>
        </is>
      </c>
      <c r="B6" s="7">
        <f>B4*B5</f>
        <v/>
      </c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inlineStr">
        <is>
          <t>Net debt</t>
        </is>
      </c>
      <c r="B7" s="7">
        <f>Inputs!B8</f>
        <v/>
      </c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inlineStr">
        <is>
          <t>Enterprise value implied by price</t>
        </is>
      </c>
      <c r="B8" s="7">
        <f>B6+B7</f>
        <v/>
      </c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inlineStr">
        <is>
          <t>WACC</t>
        </is>
      </c>
      <c r="B9" s="7">
        <f>Inputs!B18</f>
        <v/>
      </c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inlineStr">
        <is>
          <t>Terminal growth</t>
        </is>
      </c>
      <c r="B10" s="7">
        <f>Inputs!B19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5" t="inlineStr">
        <is>
          <t>Reverse DCF Grid — terminal revenue and margin combinations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</row>
    <row r="14">
      <c r="A14" s="3" t="inlineStr">
        <is>
          <t>Terminal Revenue</t>
        </is>
      </c>
      <c r="B14" s="42" t="n">
        <v>6</v>
      </c>
      <c r="C14" s="42" t="n">
        <v>7</v>
      </c>
      <c r="D14" s="42" t="n">
        <v>8</v>
      </c>
      <c r="E14" s="42" t="n">
        <v>9</v>
      </c>
      <c r="F14" s="42" t="n">
        <v>10</v>
      </c>
      <c r="G14" s="42" t="n">
        <v>11</v>
      </c>
      <c r="H14" s="42" t="n">
        <v>12</v>
      </c>
      <c r="I14" s="42" t="n">
        <v>13</v>
      </c>
      <c r="J14" s="42" t="n">
        <v>14</v>
      </c>
    </row>
    <row r="15">
      <c r="A15" s="27" t="n">
        <v>0.2</v>
      </c>
      <c r="B15" s="43">
        <f>(B$14*$A15*(1-Inputs!$B$17)*(1-$B$9/Inputs!$B$20))/($B$10-$B$11)</f>
        <v/>
      </c>
      <c r="C15" s="43">
        <f>(C$14*$A15*(1-Inputs!$B$17)*(1-$B$9/Inputs!$B$20))/($B$10-$B$11)</f>
        <v/>
      </c>
      <c r="D15" s="43">
        <f>(D$14*$A15*(1-Inputs!$B$17)*(1-$B$9/Inputs!$B$20))/($B$10-$B$11)</f>
        <v/>
      </c>
      <c r="E15" s="43">
        <f>(E$14*$A15*(1-Inputs!$B$17)*(1-$B$9/Inputs!$B$20))/($B$10-$B$11)</f>
        <v/>
      </c>
      <c r="F15" s="43">
        <f>(F$14*$A15*(1-Inputs!$B$17)*(1-$B$9/Inputs!$B$20))/($B$10-$B$11)</f>
        <v/>
      </c>
      <c r="G15" s="43">
        <f>(G$14*$A15*(1-Inputs!$B$17)*(1-$B$9/Inputs!$B$20))/($B$10-$B$11)</f>
        <v/>
      </c>
      <c r="H15" s="43">
        <f>(H$14*$A15*(1-Inputs!$B$17)*(1-$B$9/Inputs!$B$20))/($B$10-$B$11)</f>
        <v/>
      </c>
      <c r="I15" s="43">
        <f>(I$14*$A15*(1-Inputs!$B$17)*(1-$B$9/Inputs!$B$20))/($B$10-$B$11)</f>
        <v/>
      </c>
      <c r="J15" s="43">
        <f>(J$14*$A15*(1-Inputs!$B$17)*(1-$B$9/Inputs!$B$20))/($B$10-$B$11)</f>
        <v/>
      </c>
    </row>
    <row r="16">
      <c r="A16" s="27" t="n">
        <v>0.25</v>
      </c>
      <c r="B16" s="43">
        <f>(B$14*$A16*(1-Inputs!$B$17)*(1-$B$9/Inputs!$B$20))/($B$10-$B$11)</f>
        <v/>
      </c>
      <c r="C16" s="43">
        <f>(C$14*$A16*(1-Inputs!$B$17)*(1-$B$9/Inputs!$B$20))/($B$10-$B$11)</f>
        <v/>
      </c>
      <c r="D16" s="43">
        <f>(D$14*$A16*(1-Inputs!$B$17)*(1-$B$9/Inputs!$B$20))/($B$10-$B$11)</f>
        <v/>
      </c>
      <c r="E16" s="43">
        <f>(E$14*$A16*(1-Inputs!$B$17)*(1-$B$9/Inputs!$B$20))/($B$10-$B$11)</f>
        <v/>
      </c>
      <c r="F16" s="43">
        <f>(F$14*$A16*(1-Inputs!$B$17)*(1-$B$9/Inputs!$B$20))/($B$10-$B$11)</f>
        <v/>
      </c>
      <c r="G16" s="43">
        <f>(G$14*$A16*(1-Inputs!$B$17)*(1-$B$9/Inputs!$B$20))/($B$10-$B$11)</f>
        <v/>
      </c>
      <c r="H16" s="43">
        <f>(H$14*$A16*(1-Inputs!$B$17)*(1-$B$9/Inputs!$B$20))/($B$10-$B$11)</f>
        <v/>
      </c>
      <c r="I16" s="43">
        <f>(I$14*$A16*(1-Inputs!$B$17)*(1-$B$9/Inputs!$B$20))/($B$10-$B$11)</f>
        <v/>
      </c>
      <c r="J16" s="43">
        <f>(J$14*$A16*(1-Inputs!$B$17)*(1-$B$9/Inputs!$B$20))/($B$10-$B$11)</f>
        <v/>
      </c>
    </row>
    <row r="17">
      <c r="A17" s="27" t="n">
        <v>0.3</v>
      </c>
      <c r="B17" s="43">
        <f>(B$14*$A17*(1-Inputs!$B$17)*(1-$B$9/Inputs!$B$20))/($B$10-$B$11)</f>
        <v/>
      </c>
      <c r="C17" s="43">
        <f>(C$14*$A17*(1-Inputs!$B$17)*(1-$B$9/Inputs!$B$20))/($B$10-$B$11)</f>
        <v/>
      </c>
      <c r="D17" s="43">
        <f>(D$14*$A17*(1-Inputs!$B$17)*(1-$B$9/Inputs!$B$20))/($B$10-$B$11)</f>
        <v/>
      </c>
      <c r="E17" s="43">
        <f>(E$14*$A17*(1-Inputs!$B$17)*(1-$B$9/Inputs!$B$20))/($B$10-$B$11)</f>
        <v/>
      </c>
      <c r="F17" s="43">
        <f>(F$14*$A17*(1-Inputs!$B$17)*(1-$B$9/Inputs!$B$20))/($B$10-$B$11)</f>
        <v/>
      </c>
      <c r="G17" s="43">
        <f>(G$14*$A17*(1-Inputs!$B$17)*(1-$B$9/Inputs!$B$20))/($B$10-$B$11)</f>
        <v/>
      </c>
      <c r="H17" s="43">
        <f>(H$14*$A17*(1-Inputs!$B$17)*(1-$B$9/Inputs!$B$20))/($B$10-$B$11)</f>
        <v/>
      </c>
      <c r="I17" s="43">
        <f>(I$14*$A17*(1-Inputs!$B$17)*(1-$B$9/Inputs!$B$20))/($B$10-$B$11)</f>
        <v/>
      </c>
      <c r="J17" s="43">
        <f>(J$14*$A17*(1-Inputs!$B$17)*(1-$B$9/Inputs!$B$20))/($B$10-$B$11)</f>
        <v/>
      </c>
    </row>
    <row r="18">
      <c r="A18" s="27" t="n">
        <v>0.35</v>
      </c>
      <c r="B18" s="43">
        <f>(B$14*$A18*(1-Inputs!$B$17)*(1-$B$9/Inputs!$B$20))/($B$10-$B$11)</f>
        <v/>
      </c>
      <c r="C18" s="43">
        <f>(C$14*$A18*(1-Inputs!$B$17)*(1-$B$9/Inputs!$B$20))/($B$10-$B$11)</f>
        <v/>
      </c>
      <c r="D18" s="43">
        <f>(D$14*$A18*(1-Inputs!$B$17)*(1-$B$9/Inputs!$B$20))/($B$10-$B$11)</f>
        <v/>
      </c>
      <c r="E18" s="43">
        <f>(E$14*$A18*(1-Inputs!$B$17)*(1-$B$9/Inputs!$B$20))/($B$10-$B$11)</f>
        <v/>
      </c>
      <c r="F18" s="43">
        <f>(F$14*$A18*(1-Inputs!$B$17)*(1-$B$9/Inputs!$B$20))/($B$10-$B$11)</f>
        <v/>
      </c>
      <c r="G18" s="43">
        <f>(G$14*$A18*(1-Inputs!$B$17)*(1-$B$9/Inputs!$B$20))/($B$10-$B$11)</f>
        <v/>
      </c>
      <c r="H18" s="43">
        <f>(H$14*$A18*(1-Inputs!$B$17)*(1-$B$9/Inputs!$B$20))/($B$10-$B$11)</f>
        <v/>
      </c>
      <c r="I18" s="43">
        <f>(I$14*$A18*(1-Inputs!$B$17)*(1-$B$9/Inputs!$B$20))/($B$10-$B$11)</f>
        <v/>
      </c>
      <c r="J18" s="43">
        <f>(J$14*$A18*(1-Inputs!$B$17)*(1-$B$9/Inputs!$B$20))/($B$10-$B$11)</f>
        <v/>
      </c>
    </row>
    <row r="19">
      <c r="A19" s="27" t="n">
        <v>0.4</v>
      </c>
      <c r="B19" s="43">
        <f>(B$14*$A19*(1-Inputs!$B$17)*(1-$B$9/Inputs!$B$20))/($B$10-$B$11)</f>
        <v/>
      </c>
      <c r="C19" s="43">
        <f>(C$14*$A19*(1-Inputs!$B$17)*(1-$B$9/Inputs!$B$20))/($B$10-$B$11)</f>
        <v/>
      </c>
      <c r="D19" s="43">
        <f>(D$14*$A19*(1-Inputs!$B$17)*(1-$B$9/Inputs!$B$20))/($B$10-$B$11)</f>
        <v/>
      </c>
      <c r="E19" s="43">
        <f>(E$14*$A19*(1-Inputs!$B$17)*(1-$B$9/Inputs!$B$20))/($B$10-$B$11)</f>
        <v/>
      </c>
      <c r="F19" s="43">
        <f>(F$14*$A19*(1-Inputs!$B$17)*(1-$B$9/Inputs!$B$20))/($B$10-$B$11)</f>
        <v/>
      </c>
      <c r="G19" s="43">
        <f>(G$14*$A19*(1-Inputs!$B$17)*(1-$B$9/Inputs!$B$20))/($B$10-$B$11)</f>
        <v/>
      </c>
      <c r="H19" s="43">
        <f>(H$14*$A19*(1-Inputs!$B$17)*(1-$B$9/Inputs!$B$20))/($B$10-$B$11)</f>
        <v/>
      </c>
      <c r="I19" s="43">
        <f>(I$14*$A19*(1-Inputs!$B$17)*(1-$B$9/Inputs!$B$20))/($B$10-$B$11)</f>
        <v/>
      </c>
      <c r="J19" s="43">
        <f>(J$14*$A19*(1-Inputs!$B$17)*(1-$B$9/Inputs!$B$20))/($B$10-$B$11)</f>
        <v/>
      </c>
    </row>
    <row r="20">
      <c r="A20" s="27" t="n">
        <v>0.45</v>
      </c>
      <c r="B20" s="43">
        <f>(B$14*$A20*(1-Inputs!$B$17)*(1-$B$9/Inputs!$B$20))/($B$10-$B$11)</f>
        <v/>
      </c>
      <c r="C20" s="43">
        <f>(C$14*$A20*(1-Inputs!$B$17)*(1-$B$9/Inputs!$B$20))/($B$10-$B$11)</f>
        <v/>
      </c>
      <c r="D20" s="43">
        <f>(D$14*$A20*(1-Inputs!$B$17)*(1-$B$9/Inputs!$B$20))/($B$10-$B$11)</f>
        <v/>
      </c>
      <c r="E20" s="43">
        <f>(E$14*$A20*(1-Inputs!$B$17)*(1-$B$9/Inputs!$B$20))/($B$10-$B$11)</f>
        <v/>
      </c>
      <c r="F20" s="43">
        <f>(F$14*$A20*(1-Inputs!$B$17)*(1-$B$9/Inputs!$B$20))/($B$10-$B$11)</f>
        <v/>
      </c>
      <c r="G20" s="43">
        <f>(G$14*$A20*(1-Inputs!$B$17)*(1-$B$9/Inputs!$B$20))/($B$10-$B$11)</f>
        <v/>
      </c>
      <c r="H20" s="43">
        <f>(H$14*$A20*(1-Inputs!$B$17)*(1-$B$9/Inputs!$B$20))/($B$10-$B$11)</f>
        <v/>
      </c>
      <c r="I20" s="43">
        <f>(I$14*$A20*(1-Inputs!$B$17)*(1-$B$9/Inputs!$B$20))/($B$10-$B$11)</f>
        <v/>
      </c>
      <c r="J20" s="43">
        <f>(J$14*$A20*(1-Inputs!$B$17)*(1-$B$9/Inputs!$B$20))/($B$10-$B$11)</f>
        <v/>
      </c>
    </row>
    <row r="21">
      <c r="A21" s="27" t="n">
        <v>0.5</v>
      </c>
      <c r="B21" s="43">
        <f>(B$14*$A21*(1-Inputs!$B$17)*(1-$B$9/Inputs!$B$20))/($B$10-$B$11)</f>
        <v/>
      </c>
      <c r="C21" s="43">
        <f>(C$14*$A21*(1-Inputs!$B$17)*(1-$B$9/Inputs!$B$20))/($B$10-$B$11)</f>
        <v/>
      </c>
      <c r="D21" s="43">
        <f>(D$14*$A21*(1-Inputs!$B$17)*(1-$B$9/Inputs!$B$20))/($B$10-$B$11)</f>
        <v/>
      </c>
      <c r="E21" s="43">
        <f>(E$14*$A21*(1-Inputs!$B$17)*(1-$B$9/Inputs!$B$20))/($B$10-$B$11)</f>
        <v/>
      </c>
      <c r="F21" s="43">
        <f>(F$14*$A21*(1-Inputs!$B$17)*(1-$B$9/Inputs!$B$20))/($B$10-$B$11)</f>
        <v/>
      </c>
      <c r="G21" s="43">
        <f>(G$14*$A21*(1-Inputs!$B$17)*(1-$B$9/Inputs!$B$20))/($B$10-$B$11)</f>
        <v/>
      </c>
      <c r="H21" s="43">
        <f>(H$14*$A21*(1-Inputs!$B$17)*(1-$B$9/Inputs!$B$20))/($B$10-$B$11)</f>
        <v/>
      </c>
      <c r="I21" s="43">
        <f>(I$14*$A21*(1-Inputs!$B$17)*(1-$B$9/Inputs!$B$20))/($B$10-$B$11)</f>
        <v/>
      </c>
      <c r="J21" s="43">
        <f>(J$14*$A21*(1-Inputs!$B$17)*(1-$B$9/Inputs!$B$20))/($B$10-$B$11)</f>
        <v/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inlineStr">
        <is>
          <t>Grid cells are terminal EV in $ billions. Compare against implied EV above.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inlineStr">
        <is>
          <t>This is a simplified inversion; use the full DCF sheet for detailed annual assumptions.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</sheetData>
  <mergeCells count="3">
    <mergeCell ref="A1:J1"/>
    <mergeCell ref="A13:J13"/>
    <mergeCell ref="A3:J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Valuation Sensitivities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5" t="inlineStr">
        <is>
          <t>WACC × Terminal Growth — Approximate DCF Share Value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</row>
    <row r="4">
      <c r="A4" s="3" t="inlineStr">
        <is>
          <t>WACC \ g</t>
        </is>
      </c>
      <c r="B4" s="27" t="n">
        <v>0.02</v>
      </c>
      <c r="C4" s="27" t="n">
        <v>0.025</v>
      </c>
      <c r="D4" s="27" t="n">
        <v>0.03</v>
      </c>
      <c r="E4" s="27" t="n">
        <v>0.035</v>
      </c>
      <c r="F4" s="27" t="n">
        <v>0.04</v>
      </c>
      <c r="G4" s="3" t="n"/>
      <c r="H4" s="3" t="n"/>
      <c r="I4" s="3" t="n"/>
      <c r="J4" s="3" t="n"/>
      <c r="K4" s="3" t="n"/>
      <c r="L4" s="3" t="n"/>
    </row>
    <row r="5">
      <c r="A5" s="27" t="n">
        <v>0.095</v>
      </c>
      <c r="B5" s="3">
        <f>('DCF-Base'!$B$35+('DCF-Base'!$B$33/($A5-B$4))/(1+$A5)^10-Inputs!$B$8)/Inputs!$B$5</f>
        <v/>
      </c>
      <c r="C5" s="3">
        <f>('DCF-Base'!$B$35+('DCF-Base'!$B$33/($A5-C$4))/(1+$A5)^10-Inputs!$B$8)/Inputs!$B$5</f>
        <v/>
      </c>
      <c r="D5" s="3">
        <f>('DCF-Base'!$B$35+('DCF-Base'!$B$33/($A5-D$4))/(1+$A5)^10-Inputs!$B$8)/Inputs!$B$5</f>
        <v/>
      </c>
      <c r="E5" s="3">
        <f>('DCF-Base'!$B$35+('DCF-Base'!$B$33/($A5-E$4))/(1+$A5)^10-Inputs!$B$8)/Inputs!$B$5</f>
        <v/>
      </c>
      <c r="F5" s="3">
        <f>('DCF-Base'!$B$35+('DCF-Base'!$B$33/($A5-F$4))/(1+$A5)^10-Inputs!$B$8)/Inputs!$B$5</f>
        <v/>
      </c>
      <c r="G5" s="3" t="n"/>
      <c r="H5" s="3" t="n"/>
      <c r="I5" s="3" t="n"/>
      <c r="J5" s="3" t="n"/>
      <c r="K5" s="3" t="n"/>
      <c r="L5" s="3" t="n"/>
    </row>
    <row r="6">
      <c r="A6" s="27" t="n">
        <v>0.105</v>
      </c>
      <c r="B6" s="3">
        <f>('DCF-Base'!$B$35+('DCF-Base'!$B$33/($A6-B$4))/(1+$A6)^10-Inputs!$B$8)/Inputs!$B$5</f>
        <v/>
      </c>
      <c r="C6" s="3">
        <f>('DCF-Base'!$B$35+('DCF-Base'!$B$33/($A6-C$4))/(1+$A6)^10-Inputs!$B$8)/Inputs!$B$5</f>
        <v/>
      </c>
      <c r="D6" s="3">
        <f>('DCF-Base'!$B$35+('DCF-Base'!$B$33/($A6-D$4))/(1+$A6)^10-Inputs!$B$8)/Inputs!$B$5</f>
        <v/>
      </c>
      <c r="E6" s="3">
        <f>('DCF-Base'!$B$35+('DCF-Base'!$B$33/($A6-E$4))/(1+$A6)^10-Inputs!$B$8)/Inputs!$B$5</f>
        <v/>
      </c>
      <c r="F6" s="3">
        <f>('DCF-Base'!$B$35+('DCF-Base'!$B$33/($A6-F$4))/(1+$A6)^10-Inputs!$B$8)/Inputs!$B$5</f>
        <v/>
      </c>
      <c r="G6" s="3" t="n"/>
      <c r="H6" s="3" t="n"/>
      <c r="I6" s="3" t="n"/>
      <c r="J6" s="3" t="n"/>
      <c r="K6" s="3" t="n"/>
      <c r="L6" s="3" t="n"/>
    </row>
    <row r="7">
      <c r="A7" s="27" t="n">
        <v>0.115</v>
      </c>
      <c r="B7" s="3">
        <f>('DCF-Base'!$B$35+('DCF-Base'!$B$33/($A7-B$4))/(1+$A7)^10-Inputs!$B$8)/Inputs!$B$5</f>
        <v/>
      </c>
      <c r="C7" s="3">
        <f>('DCF-Base'!$B$35+('DCF-Base'!$B$33/($A7-C$4))/(1+$A7)^10-Inputs!$B$8)/Inputs!$B$5</f>
        <v/>
      </c>
      <c r="D7" s="3">
        <f>('DCF-Base'!$B$35+('DCF-Base'!$B$33/($A7-D$4))/(1+$A7)^10-Inputs!$B$8)/Inputs!$B$5</f>
        <v/>
      </c>
      <c r="E7" s="3">
        <f>('DCF-Base'!$B$35+('DCF-Base'!$B$33/($A7-E$4))/(1+$A7)^10-Inputs!$B$8)/Inputs!$B$5</f>
        <v/>
      </c>
      <c r="F7" s="3">
        <f>('DCF-Base'!$B$35+('DCF-Base'!$B$33/($A7-F$4))/(1+$A7)^10-Inputs!$B$8)/Inputs!$B$5</f>
        <v/>
      </c>
      <c r="G7" s="3" t="n"/>
      <c r="H7" s="3" t="n"/>
      <c r="I7" s="3" t="n"/>
      <c r="J7" s="3" t="n"/>
      <c r="K7" s="3" t="n"/>
      <c r="L7" s="3" t="n"/>
    </row>
    <row r="8">
      <c r="A8" s="27" t="n">
        <v>0.125</v>
      </c>
      <c r="B8" s="3">
        <f>('DCF-Base'!$B$35+('DCF-Base'!$B$33/($A8-B$4))/(1+$A8)^10-Inputs!$B$8)/Inputs!$B$5</f>
        <v/>
      </c>
      <c r="C8" s="3">
        <f>('DCF-Base'!$B$35+('DCF-Base'!$B$33/($A8-C$4))/(1+$A8)^10-Inputs!$B$8)/Inputs!$B$5</f>
        <v/>
      </c>
      <c r="D8" s="3">
        <f>('DCF-Base'!$B$35+('DCF-Base'!$B$33/($A8-D$4))/(1+$A8)^10-Inputs!$B$8)/Inputs!$B$5</f>
        <v/>
      </c>
      <c r="E8" s="3">
        <f>('DCF-Base'!$B$35+('DCF-Base'!$B$33/($A8-E$4))/(1+$A8)^10-Inputs!$B$8)/Inputs!$B$5</f>
        <v/>
      </c>
      <c r="F8" s="3">
        <f>('DCF-Base'!$B$35+('DCF-Base'!$B$33/($A8-F$4))/(1+$A8)^10-Inputs!$B$8)/Inputs!$B$5</f>
        <v/>
      </c>
      <c r="G8" s="3" t="n"/>
      <c r="H8" s="3" t="n"/>
      <c r="I8" s="3" t="n"/>
      <c r="J8" s="3" t="n"/>
      <c r="K8" s="3" t="n"/>
      <c r="L8" s="3" t="n"/>
    </row>
    <row r="9">
      <c r="A9" s="27" t="n">
        <v>0.14</v>
      </c>
      <c r="B9" s="3">
        <f>('DCF-Base'!$B$35+('DCF-Base'!$B$33/($A9-B$4))/(1+$A9)^10-Inputs!$B$8)/Inputs!$B$5</f>
        <v/>
      </c>
      <c r="C9" s="3">
        <f>('DCF-Base'!$B$35+('DCF-Base'!$B$33/($A9-C$4))/(1+$A9)^10-Inputs!$B$8)/Inputs!$B$5</f>
        <v/>
      </c>
      <c r="D9" s="3">
        <f>('DCF-Base'!$B$35+('DCF-Base'!$B$33/($A9-D$4))/(1+$A9)^10-Inputs!$B$8)/Inputs!$B$5</f>
        <v/>
      </c>
      <c r="E9" s="3">
        <f>('DCF-Base'!$B$35+('DCF-Base'!$B$33/($A9-E$4))/(1+$A9)^10-Inputs!$B$8)/Inputs!$B$5</f>
        <v/>
      </c>
      <c r="F9" s="3">
        <f>('DCF-Base'!$B$35+('DCF-Base'!$B$33/($A9-F$4))/(1+$A9)^10-Inputs!$B$8)/Inputs!$B$5</f>
        <v/>
      </c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5" t="inlineStr">
        <is>
          <t>Terminal EBIT Margin × Mature Revenue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</row>
    <row r="13">
      <c r="A13" s="3" t="inlineStr">
        <is>
          <t>Margin \ Revenue</t>
        </is>
      </c>
      <c r="B13" s="42" t="n">
        <v>6</v>
      </c>
      <c r="C13" s="42" t="n">
        <v>7</v>
      </c>
      <c r="D13" s="42" t="n">
        <v>8</v>
      </c>
      <c r="E13" s="42" t="n">
        <v>9</v>
      </c>
      <c r="F13" s="42" t="n">
        <v>10</v>
      </c>
      <c r="G13" s="42" t="n">
        <v>11</v>
      </c>
      <c r="H13" s="42" t="n">
        <v>12</v>
      </c>
      <c r="I13" s="3" t="n"/>
      <c r="J13" s="3" t="n"/>
      <c r="K13" s="3" t="n"/>
      <c r="L13" s="3" t="n"/>
    </row>
    <row r="14">
      <c r="A14" s="27" t="n">
        <v>0.2</v>
      </c>
      <c r="B14" s="43">
        <f>(B$13*$A14*(1-Inputs!$B$17)*(1-Inputs!$B$19/Inputs!$B$20))/((Inputs!$B$18)-Inputs!$B$19)</f>
        <v/>
      </c>
      <c r="C14" s="43">
        <f>(C$13*$A14*(1-Inputs!$B$17)*(1-Inputs!$B$19/Inputs!$B$20))/((Inputs!$B$18)-Inputs!$B$19)</f>
        <v/>
      </c>
      <c r="D14" s="43">
        <f>(D$13*$A14*(1-Inputs!$B$17)*(1-Inputs!$B$19/Inputs!$B$20))/((Inputs!$B$18)-Inputs!$B$19)</f>
        <v/>
      </c>
      <c r="E14" s="43">
        <f>(E$13*$A14*(1-Inputs!$B$17)*(1-Inputs!$B$19/Inputs!$B$20))/((Inputs!$B$18)-Inputs!$B$19)</f>
        <v/>
      </c>
      <c r="F14" s="43">
        <f>(F$13*$A14*(1-Inputs!$B$17)*(1-Inputs!$B$19/Inputs!$B$20))/((Inputs!$B$18)-Inputs!$B$19)</f>
        <v/>
      </c>
      <c r="G14" s="43">
        <f>(G$13*$A14*(1-Inputs!$B$17)*(1-Inputs!$B$19/Inputs!$B$20))/((Inputs!$B$18)-Inputs!$B$19)</f>
        <v/>
      </c>
      <c r="H14" s="43">
        <f>(H$13*$A14*(1-Inputs!$B$17)*(1-Inputs!$B$19/Inputs!$B$20))/((Inputs!$B$18)-Inputs!$B$19)</f>
        <v/>
      </c>
      <c r="I14" s="3" t="n"/>
      <c r="J14" s="3" t="n"/>
      <c r="K14" s="3" t="n"/>
      <c r="L14" s="3" t="n"/>
    </row>
    <row r="15">
      <c r="A15" s="27" t="n">
        <v>0.25</v>
      </c>
      <c r="B15" s="43">
        <f>(B$13*$A15*(1-Inputs!$B$17)*(1-Inputs!$B$19/Inputs!$B$20))/((Inputs!$B$18)-Inputs!$B$19)</f>
        <v/>
      </c>
      <c r="C15" s="43">
        <f>(C$13*$A15*(1-Inputs!$B$17)*(1-Inputs!$B$19/Inputs!$B$20))/((Inputs!$B$18)-Inputs!$B$19)</f>
        <v/>
      </c>
      <c r="D15" s="43">
        <f>(D$13*$A15*(1-Inputs!$B$17)*(1-Inputs!$B$19/Inputs!$B$20))/((Inputs!$B$18)-Inputs!$B$19)</f>
        <v/>
      </c>
      <c r="E15" s="43">
        <f>(E$13*$A15*(1-Inputs!$B$17)*(1-Inputs!$B$19/Inputs!$B$20))/((Inputs!$B$18)-Inputs!$B$19)</f>
        <v/>
      </c>
      <c r="F15" s="43">
        <f>(F$13*$A15*(1-Inputs!$B$17)*(1-Inputs!$B$19/Inputs!$B$20))/((Inputs!$B$18)-Inputs!$B$19)</f>
        <v/>
      </c>
      <c r="G15" s="43">
        <f>(G$13*$A15*(1-Inputs!$B$17)*(1-Inputs!$B$19/Inputs!$B$20))/((Inputs!$B$18)-Inputs!$B$19)</f>
        <v/>
      </c>
      <c r="H15" s="43">
        <f>(H$13*$A15*(1-Inputs!$B$17)*(1-Inputs!$B$19/Inputs!$B$20))/((Inputs!$B$18)-Inputs!$B$19)</f>
        <v/>
      </c>
      <c r="I15" s="3" t="n"/>
      <c r="J15" s="3" t="n"/>
      <c r="K15" s="3" t="n"/>
      <c r="L15" s="3" t="n"/>
    </row>
    <row r="16">
      <c r="A16" s="27" t="n">
        <v>0.3</v>
      </c>
      <c r="B16" s="43">
        <f>(B$13*$A16*(1-Inputs!$B$17)*(1-Inputs!$B$19/Inputs!$B$20))/((Inputs!$B$18)-Inputs!$B$19)</f>
        <v/>
      </c>
      <c r="C16" s="43">
        <f>(C$13*$A16*(1-Inputs!$B$17)*(1-Inputs!$B$19/Inputs!$B$20))/((Inputs!$B$18)-Inputs!$B$19)</f>
        <v/>
      </c>
      <c r="D16" s="43">
        <f>(D$13*$A16*(1-Inputs!$B$17)*(1-Inputs!$B$19/Inputs!$B$20))/((Inputs!$B$18)-Inputs!$B$19)</f>
        <v/>
      </c>
      <c r="E16" s="43">
        <f>(E$13*$A16*(1-Inputs!$B$17)*(1-Inputs!$B$19/Inputs!$B$20))/((Inputs!$B$18)-Inputs!$B$19)</f>
        <v/>
      </c>
      <c r="F16" s="43">
        <f>(F$13*$A16*(1-Inputs!$B$17)*(1-Inputs!$B$19/Inputs!$B$20))/((Inputs!$B$18)-Inputs!$B$19)</f>
        <v/>
      </c>
      <c r="G16" s="43">
        <f>(G$13*$A16*(1-Inputs!$B$17)*(1-Inputs!$B$19/Inputs!$B$20))/((Inputs!$B$18)-Inputs!$B$19)</f>
        <v/>
      </c>
      <c r="H16" s="43">
        <f>(H$13*$A16*(1-Inputs!$B$17)*(1-Inputs!$B$19/Inputs!$B$20))/((Inputs!$B$18)-Inputs!$B$19)</f>
        <v/>
      </c>
      <c r="I16" s="3" t="n"/>
      <c r="J16" s="3" t="n"/>
      <c r="K16" s="3" t="n"/>
      <c r="L16" s="3" t="n"/>
    </row>
    <row r="17">
      <c r="A17" s="27" t="n">
        <v>0.35</v>
      </c>
      <c r="B17" s="43">
        <f>(B$13*$A17*(1-Inputs!$B$17)*(1-Inputs!$B$19/Inputs!$B$20))/((Inputs!$B$18)-Inputs!$B$19)</f>
        <v/>
      </c>
      <c r="C17" s="43">
        <f>(C$13*$A17*(1-Inputs!$B$17)*(1-Inputs!$B$19/Inputs!$B$20))/((Inputs!$B$18)-Inputs!$B$19)</f>
        <v/>
      </c>
      <c r="D17" s="43">
        <f>(D$13*$A17*(1-Inputs!$B$17)*(1-Inputs!$B$19/Inputs!$B$20))/((Inputs!$B$18)-Inputs!$B$19)</f>
        <v/>
      </c>
      <c r="E17" s="43">
        <f>(E$13*$A17*(1-Inputs!$B$17)*(1-Inputs!$B$19/Inputs!$B$20))/((Inputs!$B$18)-Inputs!$B$19)</f>
        <v/>
      </c>
      <c r="F17" s="43">
        <f>(F$13*$A17*(1-Inputs!$B$17)*(1-Inputs!$B$19/Inputs!$B$20))/((Inputs!$B$18)-Inputs!$B$19)</f>
        <v/>
      </c>
      <c r="G17" s="43">
        <f>(G$13*$A17*(1-Inputs!$B$17)*(1-Inputs!$B$19/Inputs!$B$20))/((Inputs!$B$18)-Inputs!$B$19)</f>
        <v/>
      </c>
      <c r="H17" s="43">
        <f>(H$13*$A17*(1-Inputs!$B$17)*(1-Inputs!$B$19/Inputs!$B$20))/((Inputs!$B$18)-Inputs!$B$19)</f>
        <v/>
      </c>
      <c r="I17" s="3" t="n"/>
      <c r="J17" s="3" t="n"/>
      <c r="K17" s="3" t="n"/>
      <c r="L17" s="3" t="n"/>
    </row>
    <row r="18">
      <c r="A18" s="27" t="n">
        <v>0.4</v>
      </c>
      <c r="B18" s="43">
        <f>(B$13*$A18*(1-Inputs!$B$17)*(1-Inputs!$B$19/Inputs!$B$20))/((Inputs!$B$18)-Inputs!$B$19)</f>
        <v/>
      </c>
      <c r="C18" s="43">
        <f>(C$13*$A18*(1-Inputs!$B$17)*(1-Inputs!$B$19/Inputs!$B$20))/((Inputs!$B$18)-Inputs!$B$19)</f>
        <v/>
      </c>
      <c r="D18" s="43">
        <f>(D$13*$A18*(1-Inputs!$B$17)*(1-Inputs!$B$19/Inputs!$B$20))/((Inputs!$B$18)-Inputs!$B$19)</f>
        <v/>
      </c>
      <c r="E18" s="43">
        <f>(E$13*$A18*(1-Inputs!$B$17)*(1-Inputs!$B$19/Inputs!$B$20))/((Inputs!$B$18)-Inputs!$B$19)</f>
        <v/>
      </c>
      <c r="F18" s="43">
        <f>(F$13*$A18*(1-Inputs!$B$17)*(1-Inputs!$B$19/Inputs!$B$20))/((Inputs!$B$18)-Inputs!$B$19)</f>
        <v/>
      </c>
      <c r="G18" s="43">
        <f>(G$13*$A18*(1-Inputs!$B$17)*(1-Inputs!$B$19/Inputs!$B$20))/((Inputs!$B$18)-Inputs!$B$19)</f>
        <v/>
      </c>
      <c r="H18" s="43">
        <f>(H$13*$A18*(1-Inputs!$B$17)*(1-Inputs!$B$19/Inputs!$B$20))/((Inputs!$B$18)-Inputs!$B$19)</f>
        <v/>
      </c>
      <c r="I18" s="3" t="n"/>
      <c r="J18" s="3" t="n"/>
      <c r="K18" s="3" t="n"/>
      <c r="L18" s="3" t="n"/>
    </row>
    <row r="19">
      <c r="A19" s="27" t="n">
        <v>0.45</v>
      </c>
      <c r="B19" s="43">
        <f>(B$13*$A19*(1-Inputs!$B$17)*(1-Inputs!$B$19/Inputs!$B$20))/((Inputs!$B$18)-Inputs!$B$19)</f>
        <v/>
      </c>
      <c r="C19" s="43">
        <f>(C$13*$A19*(1-Inputs!$B$17)*(1-Inputs!$B$19/Inputs!$B$20))/((Inputs!$B$18)-Inputs!$B$19)</f>
        <v/>
      </c>
      <c r="D19" s="43">
        <f>(D$13*$A19*(1-Inputs!$B$17)*(1-Inputs!$B$19/Inputs!$B$20))/((Inputs!$B$18)-Inputs!$B$19)</f>
        <v/>
      </c>
      <c r="E19" s="43">
        <f>(E$13*$A19*(1-Inputs!$B$17)*(1-Inputs!$B$19/Inputs!$B$20))/((Inputs!$B$18)-Inputs!$B$19)</f>
        <v/>
      </c>
      <c r="F19" s="43">
        <f>(F$13*$A19*(1-Inputs!$B$17)*(1-Inputs!$B$19/Inputs!$B$20))/((Inputs!$B$18)-Inputs!$B$19)</f>
        <v/>
      </c>
      <c r="G19" s="43">
        <f>(G$13*$A19*(1-Inputs!$B$17)*(1-Inputs!$B$19/Inputs!$B$20))/((Inputs!$B$18)-Inputs!$B$19)</f>
        <v/>
      </c>
      <c r="H19" s="43">
        <f>(H$13*$A19*(1-Inputs!$B$17)*(1-Inputs!$B$19/Inputs!$B$20))/((Inputs!$B$18)-Inputs!$B$19)</f>
        <v/>
      </c>
      <c r="I19" s="3" t="n"/>
      <c r="J19" s="3" t="n"/>
      <c r="K19" s="3" t="n"/>
      <c r="L19" s="3" t="n"/>
    </row>
    <row r="20">
      <c r="A20" s="27" t="n">
        <v>0.5</v>
      </c>
      <c r="B20" s="43">
        <f>(B$13*$A20*(1-Inputs!$B$17)*(1-Inputs!$B$19/Inputs!$B$20))/((Inputs!$B$18)-Inputs!$B$19)</f>
        <v/>
      </c>
      <c r="C20" s="43">
        <f>(C$13*$A20*(1-Inputs!$B$17)*(1-Inputs!$B$19/Inputs!$B$20))/((Inputs!$B$18)-Inputs!$B$19)</f>
        <v/>
      </c>
      <c r="D20" s="43">
        <f>(D$13*$A20*(1-Inputs!$B$17)*(1-Inputs!$B$19/Inputs!$B$20))/((Inputs!$B$18)-Inputs!$B$19)</f>
        <v/>
      </c>
      <c r="E20" s="43">
        <f>(E$13*$A20*(1-Inputs!$B$17)*(1-Inputs!$B$19/Inputs!$B$20))/((Inputs!$B$18)-Inputs!$B$19)</f>
        <v/>
      </c>
      <c r="F20" s="43">
        <f>(F$13*$A20*(1-Inputs!$B$17)*(1-Inputs!$B$19/Inputs!$B$20))/((Inputs!$B$18)-Inputs!$B$19)</f>
        <v/>
      </c>
      <c r="G20" s="43">
        <f>(G$13*$A20*(1-Inputs!$B$17)*(1-Inputs!$B$19/Inputs!$B$20))/((Inputs!$B$18)-Inputs!$B$19)</f>
        <v/>
      </c>
      <c r="H20" s="43">
        <f>(H$13*$A20*(1-Inputs!$B$17)*(1-Inputs!$B$19/Inputs!$B$20))/((Inputs!$B$18)-Inputs!$B$19)</f>
        <v/>
      </c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5" t="inlineStr">
        <is>
          <t>Growth × ROIC — Reinvestment Logic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</row>
    <row r="24">
      <c r="A24" s="3" t="inlineStr">
        <is>
          <t>Growth \ ROIC</t>
        </is>
      </c>
      <c r="B24" s="27" t="n">
        <v>0.1</v>
      </c>
      <c r="C24" s="27" t="n">
        <v>0.15</v>
      </c>
      <c r="D24" s="27" t="n">
        <v>0.2</v>
      </c>
      <c r="E24" s="27" t="n">
        <v>0.25</v>
      </c>
      <c r="F24" s="27" t="n">
        <v>0.3</v>
      </c>
      <c r="G24" s="3" t="n"/>
      <c r="H24" s="3" t="n"/>
      <c r="I24" s="3" t="n"/>
      <c r="J24" s="3" t="n"/>
      <c r="K24" s="3" t="n"/>
      <c r="L24" s="3" t="n"/>
    </row>
    <row r="25">
      <c r="A25" s="27" t="n">
        <v>0.05</v>
      </c>
      <c r="B25" s="3">
        <f>0.05/B$24</f>
        <v/>
      </c>
      <c r="C25" s="3">
        <f>0.05/C$24</f>
        <v/>
      </c>
      <c r="D25" s="3">
        <f>0.05/D$24</f>
        <v/>
      </c>
      <c r="E25" s="3">
        <f>0.05/E$24</f>
        <v/>
      </c>
      <c r="F25" s="3">
        <f>0.05/F$24</f>
        <v/>
      </c>
      <c r="G25" s="3" t="n"/>
      <c r="H25" s="3" t="n"/>
      <c r="I25" s="3" t="n"/>
      <c r="J25" s="3" t="n"/>
      <c r="K25" s="3" t="n"/>
      <c r="L25" s="3" t="n"/>
    </row>
    <row r="26">
      <c r="A26" s="27" t="n">
        <v>0.1</v>
      </c>
      <c r="B26" s="3">
        <f>0.1/B$24</f>
        <v/>
      </c>
      <c r="C26" s="3">
        <f>0.1/C$24</f>
        <v/>
      </c>
      <c r="D26" s="3">
        <f>0.1/D$24</f>
        <v/>
      </c>
      <c r="E26" s="3">
        <f>0.1/E$24</f>
        <v/>
      </c>
      <c r="F26" s="3">
        <f>0.1/F$24</f>
        <v/>
      </c>
      <c r="G26" s="3" t="n"/>
      <c r="H26" s="3" t="n"/>
      <c r="I26" s="3" t="n"/>
      <c r="J26" s="3" t="n"/>
      <c r="K26" s="3" t="n"/>
      <c r="L26" s="3" t="n"/>
    </row>
    <row r="27">
      <c r="A27" s="27" t="n">
        <v>0.15</v>
      </c>
      <c r="B27" s="3">
        <f>0.15/B$24</f>
        <v/>
      </c>
      <c r="C27" s="3">
        <f>0.15/C$24</f>
        <v/>
      </c>
      <c r="D27" s="3">
        <f>0.15/D$24</f>
        <v/>
      </c>
      <c r="E27" s="3">
        <f>0.15/E$24</f>
        <v/>
      </c>
      <c r="F27" s="3">
        <f>0.15/F$24</f>
        <v/>
      </c>
      <c r="G27" s="3" t="n"/>
      <c r="H27" s="3" t="n"/>
      <c r="I27" s="3" t="n"/>
      <c r="J27" s="3" t="n"/>
      <c r="K27" s="3" t="n"/>
      <c r="L27" s="3" t="n"/>
    </row>
    <row r="28">
      <c r="A28" s="27" t="n">
        <v>0.2</v>
      </c>
      <c r="B28" s="3">
        <f>0.2/B$24</f>
        <v/>
      </c>
      <c r="C28" s="3">
        <f>0.2/C$24</f>
        <v/>
      </c>
      <c r="D28" s="3">
        <f>0.2/D$24</f>
        <v/>
      </c>
      <c r="E28" s="3">
        <f>0.2/E$24</f>
        <v/>
      </c>
      <c r="F28" s="3">
        <f>0.2/F$24</f>
        <v/>
      </c>
      <c r="G28" s="3" t="n"/>
      <c r="H28" s="3" t="n"/>
      <c r="I28" s="3" t="n"/>
      <c r="J28" s="3" t="n"/>
      <c r="K28" s="3" t="n"/>
      <c r="L28" s="3" t="n"/>
    </row>
    <row r="29">
      <c r="A29" s="27" t="n">
        <v>0.25</v>
      </c>
      <c r="B29" s="3">
        <f>0.25/B$24</f>
        <v/>
      </c>
      <c r="C29" s="3">
        <f>0.25/C$24</f>
        <v/>
      </c>
      <c r="D29" s="3">
        <f>0.25/D$24</f>
        <v/>
      </c>
      <c r="E29" s="3">
        <f>0.25/E$24</f>
        <v/>
      </c>
      <c r="F29" s="3">
        <f>0.25/F$24</f>
        <v/>
      </c>
      <c r="G29" s="3" t="n"/>
      <c r="H29" s="3" t="n"/>
      <c r="I29" s="3" t="n"/>
      <c r="J29" s="3" t="n"/>
      <c r="K29" s="3" t="n"/>
      <c r="L29" s="3" t="n"/>
    </row>
  </sheetData>
  <mergeCells count="4">
    <mergeCell ref="A3:L3"/>
    <mergeCell ref="A12:L12"/>
    <mergeCell ref="A23:L23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Model Integrity Checks</t>
        </is>
      </c>
      <c r="B1" s="18" t="n"/>
      <c r="C1" s="18" t="n"/>
      <c r="D1" s="18" t="n"/>
      <c r="E1" s="18" t="n"/>
      <c r="F1" s="18" t="n"/>
      <c r="G1" s="18" t="n"/>
      <c r="H1" s="18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44" t="inlineStr">
        <is>
          <t>Workbook-wide checks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3" t="inlineStr">
        <is>
          <t>Probability sum</t>
        </is>
      </c>
      <c r="B4" s="27">
        <f>SUM(Scenarios!B5:B9)</f>
        <v/>
      </c>
      <c r="C4" s="3" t="n"/>
      <c r="D4" s="3" t="n"/>
      <c r="E4" s="3" t="n"/>
      <c r="F4" s="3" t="n"/>
      <c r="G4" s="3" t="n"/>
      <c r="H4" s="3" t="n"/>
    </row>
    <row r="5">
      <c r="A5" s="3" t="inlineStr">
        <is>
          <t>Probability sum = 100%</t>
        </is>
      </c>
      <c r="B5" s="7">
        <f>ABS(B4-1)&lt;0.0001</f>
        <v/>
      </c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44" t="inlineStr">
        <is>
          <t>Per-scenario checks</t>
        </is>
      </c>
      <c r="B7" s="3" t="n"/>
      <c r="C7" s="3" t="n"/>
      <c r="D7" s="3" t="n"/>
      <c r="E7" s="3" t="n"/>
      <c r="F7" s="3" t="n"/>
      <c r="G7" s="3" t="n"/>
      <c r="H7" s="3" t="n"/>
    </row>
    <row r="8">
      <c r="A8" s="45" t="inlineStr">
        <is>
          <t>Check</t>
        </is>
      </c>
      <c r="B8" s="45" t="inlineStr">
        <is>
          <t>Severe Bear</t>
        </is>
      </c>
      <c r="C8" s="45" t="inlineStr">
        <is>
          <t>Bear</t>
        </is>
      </c>
      <c r="D8" s="45" t="inlineStr">
        <is>
          <t>Base</t>
        </is>
      </c>
      <c r="E8" s="45" t="inlineStr">
        <is>
          <t>Bull</t>
        </is>
      </c>
      <c r="F8" s="45" t="inlineStr">
        <is>
          <t>Extreme Bull</t>
        </is>
      </c>
      <c r="G8" s="3" t="n"/>
      <c r="H8" s="3" t="n"/>
    </row>
    <row r="9">
      <c r="A9" s="3" t="inlineStr">
        <is>
          <t>Terminal growth &lt; WACC</t>
        </is>
      </c>
      <c r="B9" s="7">
        <f>'DCF-SevereBear'!B30&lt;'DCF-SevereBear'!B11</f>
        <v/>
      </c>
      <c r="C9" s="7">
        <f>'DCF-Bear'!B30&lt;'DCF-Bear'!B11</f>
        <v/>
      </c>
      <c r="D9" s="7">
        <f>'DCF-Base'!B30&lt;'DCF-Base'!B11</f>
        <v/>
      </c>
      <c r="E9" s="7">
        <f>'DCF-Bull'!B30&lt;'DCF-Bull'!B11</f>
        <v/>
      </c>
      <c r="F9" s="7">
        <f>'DCF-ExtremeBull'!B30&lt;'DCF-ExtremeBull'!B11</f>
        <v/>
      </c>
      <c r="G9" s="3" t="n"/>
      <c r="H9" s="3" t="n"/>
    </row>
    <row r="10">
      <c r="A10" s="3" t="inlineStr">
        <is>
          <t>Terminal reinvestment &lt; 100%</t>
        </is>
      </c>
      <c r="B10" s="7">
        <f>'DCF-SevereBear'!B32&lt;1</f>
        <v/>
      </c>
      <c r="C10" s="7">
        <f>'DCF-Bear'!B32&lt;1</f>
        <v/>
      </c>
      <c r="D10" s="7">
        <f>'DCF-Base'!B32&lt;1</f>
        <v/>
      </c>
      <c r="E10" s="7">
        <f>'DCF-Bull'!B32&lt;1</f>
        <v/>
      </c>
      <c r="F10" s="7">
        <f>'DCF-ExtremeBull'!B32&lt;1</f>
        <v/>
      </c>
      <c r="G10" s="3" t="n"/>
      <c r="H10" s="3" t="n"/>
    </row>
    <row r="11">
      <c r="A11" t="inlineStr">
        <is>
          <t>Terminal FCFF &gt; 0</t>
        </is>
      </c>
      <c r="B11" s="46">
        <f>'DCF-SevereBear'!B33&gt;0</f>
        <v/>
      </c>
      <c r="C11" s="46">
        <f>'DCF-Bear'!B33&gt;0</f>
        <v/>
      </c>
      <c r="D11" s="46">
        <f>'DCF-Base'!B33&gt;0</f>
        <v/>
      </c>
      <c r="E11" s="46">
        <f>'DCF-Bull'!B33&gt;0</f>
        <v/>
      </c>
      <c r="F11" s="46">
        <f>'DCF-ExtremeBull'!B33&gt;0</f>
        <v/>
      </c>
    </row>
    <row r="12">
      <c r="A12" t="inlineStr">
        <is>
          <t>Intrinsic value / share &gt; 0</t>
        </is>
      </c>
      <c r="B12" s="46">
        <f>'DCF-SevereBear'!B41&gt;0</f>
        <v/>
      </c>
      <c r="C12" s="46">
        <f>'DCF-Bear'!B41&gt;0</f>
        <v/>
      </c>
      <c r="D12" s="46">
        <f>'DCF-Base'!B41&gt;0</f>
        <v/>
      </c>
      <c r="E12" s="46">
        <f>'DCF-Bull'!B41&gt;0</f>
        <v/>
      </c>
      <c r="F12" s="46">
        <f>'DCF-ExtremeBull'!B41&gt;0</f>
        <v/>
      </c>
    </row>
    <row r="13"/>
    <row r="14">
      <c r="A14" s="36" t="inlineStr">
        <is>
          <t>Green = pass. If a check fails, review assumptions before using the valuation.</t>
        </is>
      </c>
    </row>
    <row r="15"/>
    <row r="16"/>
    <row r="17"/>
    <row r="18"/>
    <row r="19"/>
    <row r="20"/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2026-08-16T13:52:48Z</dcterms:created>
  <dcterms:modified xsi:type="dcterms:W3CDTF">2026-08-16T15:27:11Z</dcterms:modified>
</cp:coreProperties>
</file>