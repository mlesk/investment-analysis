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Sionna Therapeutics, Inc.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5.91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45.2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268.3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0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150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0.5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0.15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-0.1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0.4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0.21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0.14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0.25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0.3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0.05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0.03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-25%; Margin -10% pts; WACC +1.5%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+30%; Margin +5% pts; WACC -1.5%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0.3</v>
      </c>
      <c r="C5" s="9" t="n">
        <v>-0.42</v>
      </c>
      <c r="D5" s="9" t="n">
        <v>-0.18</v>
      </c>
      <c r="E5" s="9" t="n">
        <v>0.03</v>
      </c>
      <c r="F5" s="9" t="n">
        <v>-0.025</v>
      </c>
      <c r="G5" s="9" t="n">
        <v>-0.1</v>
      </c>
      <c r="H5" s="6" t="inlineStr">
        <is>
          <t>SION-451 fails or launches as negligible niche; franchise effectively dead; capital mostly gone</t>
        </is>
      </c>
    </row>
    <row r="6">
      <c r="A6" s="11" t="inlineStr">
        <is>
          <t>Bear</t>
        </is>
      </c>
      <c r="B6" s="9" t="n">
        <v>0.25</v>
      </c>
      <c r="C6" s="9" t="n">
        <v>-0.25</v>
      </c>
      <c r="D6" s="9" t="n">
        <v>-0.1</v>
      </c>
      <c r="E6" s="9" t="n">
        <v>0.015</v>
      </c>
      <c r="F6" s="9" t="n">
        <v>-0.01</v>
      </c>
      <c r="G6" s="9" t="n">
        <v>-0.05</v>
      </c>
      <c r="H6" s="6" t="inlineStr">
        <is>
          <t>Delayed approval, narrow indication, weak adoption vs Vertex; niche franchise</t>
        </is>
      </c>
    </row>
    <row r="7">
      <c r="A7" s="11" t="inlineStr">
        <is>
          <t>Base</t>
        </is>
      </c>
      <c r="B7" s="9" t="n">
        <v>0.25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Modest second-gen franchise ~5% of CF market; SION-451 combo approved for F508del</t>
        </is>
      </c>
    </row>
    <row r="8">
      <c r="A8" s="11" t="inlineStr">
        <is>
          <t>Bull</t>
        </is>
      </c>
      <c r="B8" s="9" t="n">
        <v>0.12</v>
      </c>
      <c r="C8" s="9" t="n">
        <v>0.3</v>
      </c>
      <c r="D8" s="9" t="n">
        <v>0.05</v>
      </c>
      <c r="E8" s="9" t="n">
        <v>-0.015</v>
      </c>
      <c r="F8" s="9" t="n">
        <v>0.005</v>
      </c>
      <c r="G8" s="9" t="n">
        <v>0.05</v>
      </c>
      <c r="H8" s="6" t="inlineStr">
        <is>
          <t>Strong franchise; genuine Trikafta alternative; ~12-15% CF market share</t>
        </is>
      </c>
    </row>
    <row r="9">
      <c r="A9" s="11" t="inlineStr">
        <is>
          <t>Extreme Bull</t>
        </is>
      </c>
      <c r="B9" s="9" t="n">
        <v>0.08</v>
      </c>
      <c r="C9" s="9" t="n">
        <v>0.55</v>
      </c>
      <c r="D9" s="9" t="n">
        <v>0.1</v>
      </c>
      <c r="E9" s="9" t="n">
        <v>-0.02</v>
      </c>
      <c r="F9" s="9" t="n">
        <v>0.01</v>
      </c>
      <c r="G9" s="9" t="n">
        <v>0.08</v>
      </c>
      <c r="H9" s="6" t="inlineStr">
        <is>
          <t>CF franchise leader; major Vertex displacement; ~40%+ F508del share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7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1</v>
      </c>
      <c r="C14" s="10" t="n">
        <v>2</v>
      </c>
      <c r="D14" s="10" t="n">
        <v>3</v>
      </c>
      <c r="E14" s="10" t="n">
        <v>4</v>
      </c>
      <c r="F14" s="10" t="n">
        <v>5</v>
      </c>
      <c r="G14" s="10" t="n">
        <v>6</v>
      </c>
    </row>
    <row r="15">
      <c r="A15" s="24" t="n">
        <v>0.1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</row>
    <row r="16">
      <c r="A16" s="24" t="n">
        <v>0.15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</row>
    <row r="17">
      <c r="A17" s="24" t="n">
        <v>0.2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</row>
    <row r="18">
      <c r="A18" s="24" t="n">
        <v>0.25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</row>
    <row r="19">
      <c r="A19" s="24" t="n">
        <v>0.3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</row>
    <row r="20">
      <c r="A20" s="24" t="n">
        <v>0.35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</row>
    <row r="21">
      <c r="A21" s="24" t="n">
        <v>0.4</v>
      </c>
      <c r="B21" s="25">
        <f>(B$14*$A21*(1-Inputs!$B$17)*(1-Inputs!$B$19/Inputs!$B$20))/((Inputs!$B$18)-Inputs!$B$19)</f>
        <v/>
      </c>
      <c r="C21" s="25">
        <f>(C$14*$A21*(1-Inputs!$B$17)*(1-Inputs!$B$19/Inputs!$B$20))/((Inputs!$B$18)-Inputs!$B$19)</f>
        <v/>
      </c>
      <c r="D21" s="25">
        <f>(D$14*$A21*(1-Inputs!$B$17)*(1-Inputs!$B$19/Inputs!$B$20))/((Inputs!$B$18)-Inputs!$B$19)</f>
        <v/>
      </c>
      <c r="E21" s="25">
        <f>(E$14*$A21*(1-Inputs!$B$17)*(1-Inputs!$B$19/Inputs!$B$20))/((Inputs!$B$18)-Inputs!$B$19)</f>
        <v/>
      </c>
      <c r="F21" s="25">
        <f>(F$14*$A21*(1-Inputs!$B$17)*(1-Inputs!$B$19/Inputs!$B$20))/((Inputs!$B$18)-Inputs!$B$19)</f>
        <v/>
      </c>
      <c r="G21" s="25">
        <f>(G$14*$A21*(1-Inputs!$B$17)*(1-Inputs!$B$19/Inputs!$B$20))/((Inputs!$B$18)-Inputs!$B$19)</f>
        <v/>
      </c>
    </row>
    <row r="22">
      <c r="A22" s="24" t="n">
        <v>0.45</v>
      </c>
      <c r="B22" s="25">
        <f>(B$14*$A22*(1-Inputs!$B$17)*(1-Inputs!$B$19/Inputs!$B$20))/((Inputs!$B$18)-Inputs!$B$19)</f>
        <v/>
      </c>
      <c r="C22" s="25">
        <f>(C$14*$A22*(1-Inputs!$B$17)*(1-Inputs!$B$19/Inputs!$B$20))/((Inputs!$B$18)-Inputs!$B$19)</f>
        <v/>
      </c>
      <c r="D22" s="25">
        <f>(D$14*$A22*(1-Inputs!$B$17)*(1-Inputs!$B$19/Inputs!$B$20))/((Inputs!$B$18)-Inputs!$B$19)</f>
        <v/>
      </c>
      <c r="E22" s="25">
        <f>(E$14*$A22*(1-Inputs!$B$17)*(1-Inputs!$B$19/Inputs!$B$20))/((Inputs!$B$18)-Inputs!$B$19)</f>
        <v/>
      </c>
      <c r="F22" s="25">
        <f>(F$14*$A22*(1-Inputs!$B$17)*(1-Inputs!$B$19/Inputs!$B$20))/((Inputs!$B$18)-Inputs!$B$19)</f>
        <v/>
      </c>
      <c r="G22" s="25">
        <f>(G$14*$A22*(1-Inputs!$B$17)*(1-Inputs!$B$19/Inputs!$B$20))/((Inputs!$B$18)-Inputs!$B$19)</f>
        <v/>
      </c>
    </row>
    <row r="23">
      <c r="A23" s="24" t="n">
        <v>0.4999999999999999</v>
      </c>
      <c r="B23" s="25">
        <f>(B$14*$A23*(1-Inputs!$B$17)*(1-Inputs!$B$19/Inputs!$B$20))/((Inputs!$B$18)-Inputs!$B$19)</f>
        <v/>
      </c>
      <c r="C23" s="25">
        <f>(C$14*$A23*(1-Inputs!$B$17)*(1-Inputs!$B$19/Inputs!$B$20))/((Inputs!$B$18)-Inputs!$B$19)</f>
        <v/>
      </c>
      <c r="D23" s="25">
        <f>(D$14*$A23*(1-Inputs!$B$17)*(1-Inputs!$B$19/Inputs!$B$20))/((Inputs!$B$18)-Inputs!$B$19)</f>
        <v/>
      </c>
      <c r="E23" s="25">
        <f>(E$14*$A23*(1-Inputs!$B$17)*(1-Inputs!$B$19/Inputs!$B$20))/((Inputs!$B$18)-Inputs!$B$19)</f>
        <v/>
      </c>
      <c r="F23" s="25">
        <f>(F$14*$A23*(1-Inputs!$B$17)*(1-Inputs!$B$19/Inputs!$B$20))/((Inputs!$B$18)-Inputs!$B$19)</f>
        <v/>
      </c>
      <c r="G23" s="25">
        <f>(G$14*$A23*(1-Inputs!$B$17)*(1-Inputs!$B$19/Inputs!$B$20))/((Inputs!$B$18)-Inputs!$B$19)</f>
        <v/>
      </c>
    </row>
    <row r="24">
      <c r="A24" s="6" t="inlineStr">
        <is>
          <t>Grid cells are terminal EV in $ billions. Compare against implied EV above.</t>
        </is>
      </c>
    </row>
    <row r="25">
      <c r="A25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0.01</v>
      </c>
      <c r="C4" s="26" t="n">
        <v>0.02</v>
      </c>
      <c r="D4" s="26" t="n">
        <v>0.03</v>
      </c>
      <c r="E4" s="26" t="n">
        <v>0.04</v>
      </c>
      <c r="F4" s="26" t="n">
        <v>0.05</v>
      </c>
    </row>
    <row r="5">
      <c r="A5" s="24" t="n">
        <v>0.1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0.12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0.14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0.16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0.18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1</v>
      </c>
      <c r="C13" s="10" t="n">
        <v>2</v>
      </c>
      <c r="D13" s="10" t="n">
        <v>3</v>
      </c>
      <c r="E13" s="10" t="n">
        <v>4</v>
      </c>
      <c r="F13" s="10" t="n">
        <v>5</v>
      </c>
      <c r="G13" s="10" t="n">
        <v>6</v>
      </c>
    </row>
    <row r="14">
      <c r="A14" s="24" t="n">
        <v>0.1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</row>
    <row r="15">
      <c r="A15" s="24" t="n">
        <v>0.2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</row>
    <row r="16">
      <c r="A16" s="24" t="n">
        <v>0.3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</row>
    <row r="17">
      <c r="A17" s="24" t="n">
        <v>0.4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</row>
    <row r="18">
      <c r="A18" s="24" t="n">
        <v>0.5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2026-08-18T00:28:20Z</dcterms:created>
  <dcterms:modified xsi:type="dcterms:W3CDTF">2026-08-18T00:28:20Z</dcterms:modified>
</cp:coreProperties>
</file>